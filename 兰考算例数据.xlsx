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线路" sheetId="1" r:id="rId1"/>
    <sheet name="节点" sheetId="2" r:id="rId2"/>
    <sheet name="基准点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<sst xmlns="http://schemas.openxmlformats.org/spreadsheetml/2006/main" count="54" uniqueCount="41">
  <si>
    <t>支路</t>
  </si>
  <si>
    <t>起点</t>
  </si>
  <si>
    <t>终点</t>
  </si>
  <si>
    <t>电阻</t>
  </si>
  <si>
    <t>电抗</t>
  </si>
  <si>
    <t>长度(km)</t>
  </si>
  <si>
    <t>单位电阻</t>
  </si>
  <si>
    <t>单位电抗</t>
  </si>
  <si>
    <t>线路容量(kW)</t>
  </si>
  <si>
    <t>所属馈线</t>
  </si>
  <si>
    <t>线路直径 D (单位: mm)</t>
  </si>
  <si>
    <t>雷6板(提灌)线240/5.45/9890/0.92/15%</t>
  </si>
  <si>
    <t>雷7板(朱庄)线185/6.14/34670.4/0.48/6%</t>
  </si>
  <si>
    <t>雷3板(坝直)线240/2.9/7615.4/2.58/42%</t>
  </si>
  <si>
    <t>雷8板(北滩)线185/12.5/14951.6/0.59/14.1%</t>
  </si>
  <si>
    <t>雷2板(长胜)线240/6.98/18961.4/3.77/61.2%</t>
  </si>
  <si>
    <t>爪16板(谷营)线240/14.9/33600/7.41/93.8%</t>
  </si>
  <si>
    <t>张集抗早支线85/7.44/36705</t>
  </si>
  <si>
    <t>爪15板(中明)线240/5.8/12717.2/2.55/32.3%</t>
  </si>
  <si>
    <t>爪5板(马目)线240/5.9/24420/4.85/61.4%</t>
  </si>
  <si>
    <t>爪14板(爪营)线185/9.8/23751/5.2/65.9%</t>
  </si>
  <si>
    <t>程场支线240/7.57/32580</t>
  </si>
  <si>
    <t>爪2板(新发)线185/5.6/26091.9/3.96/50.1%</t>
  </si>
  <si>
    <t>爪4板(爪农)线240/7.1/18108.3/4.52/57.3%</t>
  </si>
  <si>
    <t>联络线</t>
  </si>
  <si>
    <t>雷集变负荷</t>
  </si>
  <si>
    <t>爪营变负荷</t>
  </si>
  <si>
    <t>节点</t>
  </si>
  <si>
    <t>有功</t>
  </si>
  <si>
    <t>无功</t>
  </si>
  <si>
    <t>X</t>
  </si>
  <si>
    <t>Y</t>
  </si>
  <si>
    <t>馈线负荷占比</t>
  </si>
  <si>
    <t>功率因数</t>
  </si>
  <si>
    <t>馈线容量</t>
  </si>
  <si>
    <t>最大负载率</t>
  </si>
  <si>
    <t>负荷修正系数</t>
  </si>
  <si>
    <t>有功占比随机数</t>
  </si>
  <si>
    <t>-</t>
  </si>
  <si>
    <t>马寨</t>
  </si>
  <si>
    <t>霍寨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</si>
</sst>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  <numFmt numFmtId="178" formatCode="0_ "/>
  </numFmts>
  <fonts count="21">
    <font>
      <sz val="11"/>
      <color theme="1"/>
      <name val="宋体"/>
      <charset val="134"/>
      <scheme val="minor"/>
    </font>
    <font>
      <sz val="10"/>
      <color rgb="FF008013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abSelected="1" workbookViewId="0">
      <selection activeCell="N18" sqref="N18"/>
    </sheetView>
  </sheetViews>
  <sheetFormatPr defaultColWidth="8.72727272727273" defaultRowHeight="14"/>
  <cols>
    <col min="1" max="3" width="5.54545454545455" style="2" customWidth="1"/>
    <col min="4" max="5" width="7.54545454545455" style="3" customWidth="1"/>
    <col min="6" max="8" width="9.54545454545454" style="3" customWidth="1"/>
    <col min="9" max="9" width="14" style="9" customWidth="1"/>
    <col min="10" max="10" width="45.5454545454545" style="2" customWidth="1"/>
    <col min="14" max="14" width="26.2727272727273" customWidth="1"/>
  </cols>
  <sheetData>
    <row r="1" spans="1:14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9" t="s">
        <v>8</v>
      </c>
      <c r="J1" s="2" t="s">
        <v>9</v>
      </c>
      <c r="N1" s="10" t="s">
        <v>10</v>
      </c>
    </row>
    <row r="2" spans="1:14">
      <c r="A2" s="2">
        <v>1</v>
      </c>
      <c r="B2" s="2">
        <v>1</v>
      </c>
      <c r="C2" s="2">
        <v>2</v>
      </c>
      <c r="D2" s="3">
        <f>F2*G2</f>
        <v>0.0574650308812944</v>
      </c>
      <c r="E2" s="3">
        <f>F2*H2</f>
        <v>0.154110764636199</v>
      </c>
      <c r="F2" s="3">
        <f>SQRT((VLOOKUP(B2,节点!A:E,4,0)-VLOOKUP(C2,节点!A:E,4,0))^2+(VLOOKUP(B2,节点!A:E,5,0)-VLOOKUP(C2,节点!A:E,5,0))^2)/基准点!$F$1</f>
        <v>0.435341143040109</v>
      </c>
      <c r="G2" s="3">
        <v>0.132</v>
      </c>
      <c r="H2" s="3">
        <v>0.354</v>
      </c>
      <c r="I2" s="9">
        <v>9890</v>
      </c>
      <c r="J2" s="2" t="s">
        <v>11</v>
      </c>
      <c r="K2">
        <v>240</v>
      </c>
      <c r="M2" t="str">
        <f>_xlfn.CONCAT(B2,"-",C2)</f>
        <v>1-2</v>
      </c>
      <c r="N2">
        <f>SQRT(4*K2/PI())</f>
        <v>17.4807748894733</v>
      </c>
    </row>
    <row r="3" spans="1:14">
      <c r="A3" s="2">
        <v>2</v>
      </c>
      <c r="B3" s="2">
        <v>2</v>
      </c>
      <c r="C3" s="2">
        <v>3</v>
      </c>
      <c r="D3" s="3">
        <f t="shared" ref="D3:D45" si="0">F3*G3</f>
        <v>0.0777065324432194</v>
      </c>
      <c r="E3" s="3">
        <f t="shared" ref="E3:E45" si="1">F3*H3</f>
        <v>0.20839479155227</v>
      </c>
      <c r="F3" s="3">
        <f>SQRT((VLOOKUP(B3,节点!A:E,4,0)-VLOOKUP(C3,节点!A:E,4,0))^2+(VLOOKUP(B3,节点!A:E,5,0)-VLOOKUP(C3,节点!A:E,5,0))^2)/基准点!$F$1</f>
        <v>0.588685851842571</v>
      </c>
      <c r="G3" s="3">
        <v>0.132</v>
      </c>
      <c r="H3" s="3">
        <v>0.354</v>
      </c>
      <c r="I3" s="9">
        <v>9890</v>
      </c>
      <c r="K3">
        <v>240</v>
      </c>
      <c r="M3" t="str">
        <f t="shared" ref="M3:M8" si="2">_xlfn.CONCAT(B3,"-",C3)</f>
        <v>2-3</v>
      </c>
      <c r="N3">
        <f t="shared" ref="N3:N34" si="3">SQRT(4*K3/PI())</f>
        <v>17.4807748894733</v>
      </c>
    </row>
    <row r="4" spans="1:14">
      <c r="A4" s="2">
        <v>3</v>
      </c>
      <c r="B4" s="2">
        <v>3</v>
      </c>
      <c r="C4" s="2">
        <v>4</v>
      </c>
      <c r="D4" s="3">
        <f t="shared" si="0"/>
        <v>0.508712800133244</v>
      </c>
      <c r="E4" s="3">
        <f t="shared" si="1"/>
        <v>1.36427523672097</v>
      </c>
      <c r="F4" s="3">
        <f>SQRT((VLOOKUP(B4,节点!A:E,4,0)-VLOOKUP(C4,节点!A:E,4,0))^2+(VLOOKUP(B4,节点!A:E,5,0)-VLOOKUP(C4,节点!A:E,5,0))^2)/基准点!$F$1</f>
        <v>3.85388484949427</v>
      </c>
      <c r="G4" s="3">
        <v>0.132</v>
      </c>
      <c r="H4" s="3">
        <v>0.354</v>
      </c>
      <c r="I4" s="9">
        <v>9890</v>
      </c>
      <c r="K4">
        <v>240</v>
      </c>
      <c r="M4" t="str">
        <f t="shared" si="2"/>
        <v>3-4</v>
      </c>
      <c r="N4">
        <f t="shared" si="3"/>
        <v>17.4807748894733</v>
      </c>
    </row>
    <row r="5" spans="1:14">
      <c r="A5" s="2">
        <v>4</v>
      </c>
      <c r="B5" s="2">
        <v>1</v>
      </c>
      <c r="C5" s="2">
        <v>5</v>
      </c>
      <c r="D5" s="3">
        <f t="shared" si="0"/>
        <v>0.192655475844014</v>
      </c>
      <c r="E5" s="3">
        <f t="shared" si="1"/>
        <v>0.413642639312148</v>
      </c>
      <c r="F5" s="3">
        <f>SQRT((VLOOKUP(B5,节点!A:E,4,0)-VLOOKUP(C5,节点!A:E,4,0))^2+(VLOOKUP(B5,节点!A:E,5,0)-VLOOKUP(C5,节点!A:E,5,0))^2)/基准点!$F$1</f>
        <v>1.13326750496479</v>
      </c>
      <c r="G5" s="3">
        <v>0.17</v>
      </c>
      <c r="H5" s="3">
        <v>0.365</v>
      </c>
      <c r="I5" s="9">
        <v>34670.4</v>
      </c>
      <c r="J5" s="2" t="s">
        <v>12</v>
      </c>
      <c r="K5">
        <v>185</v>
      </c>
      <c r="M5" t="str">
        <f t="shared" si="2"/>
        <v>1-5</v>
      </c>
      <c r="N5">
        <f t="shared" si="3"/>
        <v>15.3476159639211</v>
      </c>
    </row>
    <row r="6" spans="1:14">
      <c r="A6" s="2">
        <v>5</v>
      </c>
      <c r="B6" s="2">
        <v>5</v>
      </c>
      <c r="C6" s="2">
        <v>6</v>
      </c>
      <c r="D6" s="3">
        <f t="shared" si="0"/>
        <v>0.429472095305667</v>
      </c>
      <c r="E6" s="3">
        <f t="shared" si="1"/>
        <v>0.922101851685696</v>
      </c>
      <c r="F6" s="3">
        <f>SQRT((VLOOKUP(B6,节点!A:E,4,0)-VLOOKUP(C6,节点!A:E,4,0))^2+(VLOOKUP(B6,节点!A:E,5,0)-VLOOKUP(C6,节点!A:E,5,0))^2)/基准点!$F$1</f>
        <v>2.52630644297451</v>
      </c>
      <c r="G6" s="3">
        <v>0.17</v>
      </c>
      <c r="H6" s="3">
        <v>0.365</v>
      </c>
      <c r="I6" s="9">
        <v>34670.4</v>
      </c>
      <c r="K6">
        <v>185</v>
      </c>
      <c r="M6" t="str">
        <f t="shared" si="2"/>
        <v>5-6</v>
      </c>
      <c r="N6">
        <f t="shared" si="3"/>
        <v>15.3476159639211</v>
      </c>
    </row>
    <row r="7" spans="1:14">
      <c r="A7" s="2">
        <v>6</v>
      </c>
      <c r="B7" s="2">
        <v>6</v>
      </c>
      <c r="C7" s="2">
        <v>7</v>
      </c>
      <c r="D7" s="3">
        <f t="shared" si="0"/>
        <v>0.733824720542907</v>
      </c>
      <c r="E7" s="3">
        <f t="shared" si="1"/>
        <v>1.57556484116565</v>
      </c>
      <c r="F7" s="3">
        <f>SQRT((VLOOKUP(B7,节点!A:E,4,0)-VLOOKUP(C7,节点!A:E,4,0))^2+(VLOOKUP(B7,节点!A:E,5,0)-VLOOKUP(C7,节点!A:E,5,0))^2)/基准点!$F$1</f>
        <v>4.31661600319357</v>
      </c>
      <c r="G7" s="3">
        <v>0.17</v>
      </c>
      <c r="H7" s="3">
        <v>0.365</v>
      </c>
      <c r="I7" s="9">
        <v>34670.4</v>
      </c>
      <c r="K7">
        <v>185</v>
      </c>
      <c r="M7" t="str">
        <f t="shared" si="2"/>
        <v>6-7</v>
      </c>
      <c r="N7">
        <f t="shared" si="3"/>
        <v>15.3476159639211</v>
      </c>
    </row>
    <row r="8" spans="1:14">
      <c r="A8" s="2">
        <v>7</v>
      </c>
      <c r="B8" s="2">
        <v>1</v>
      </c>
      <c r="C8" s="2">
        <v>8</v>
      </c>
      <c r="D8" s="3">
        <f t="shared" si="0"/>
        <v>0.061906352908114</v>
      </c>
      <c r="E8" s="3">
        <f t="shared" si="1"/>
        <v>0.166021582799033</v>
      </c>
      <c r="F8" s="3">
        <f>SQRT((VLOOKUP(B8,节点!A:E,4,0)-VLOOKUP(C8,节点!A:E,4,0))^2+(VLOOKUP(B8,节点!A:E,5,0)-VLOOKUP(C8,节点!A:E,5,0))^2)/基准点!$F$1</f>
        <v>0.468987522031167</v>
      </c>
      <c r="G8" s="3">
        <v>0.132</v>
      </c>
      <c r="H8" s="3">
        <v>0.354</v>
      </c>
      <c r="I8" s="9">
        <v>7615.4</v>
      </c>
      <c r="J8" s="2" t="s">
        <v>13</v>
      </c>
      <c r="K8">
        <v>240</v>
      </c>
      <c r="M8" t="str">
        <f t="shared" si="2"/>
        <v>1-8</v>
      </c>
      <c r="N8">
        <f t="shared" si="3"/>
        <v>17.4807748894733</v>
      </c>
    </row>
    <row r="9" spans="1:14">
      <c r="A9" s="2">
        <v>8</v>
      </c>
      <c r="B9" s="2">
        <v>8</v>
      </c>
      <c r="C9" s="2">
        <v>9</v>
      </c>
      <c r="D9" s="3">
        <f t="shared" si="0"/>
        <v>0.0782446082435139</v>
      </c>
      <c r="E9" s="3">
        <f t="shared" si="1"/>
        <v>0.209837813016696</v>
      </c>
      <c r="F9" s="3">
        <f>SQRT((VLOOKUP(B9,节点!A:E,4,0)-VLOOKUP(C9,节点!A:E,4,0))^2+(VLOOKUP(B9,节点!A:E,5,0)-VLOOKUP(C9,节点!A:E,5,0))^2)/基准点!$F$1</f>
        <v>0.592762183662984</v>
      </c>
      <c r="G9" s="3">
        <v>0.132</v>
      </c>
      <c r="H9" s="3">
        <v>0.354</v>
      </c>
      <c r="I9" s="9">
        <v>7615.4</v>
      </c>
      <c r="K9">
        <v>240</v>
      </c>
      <c r="M9" t="str">
        <f t="shared" ref="M9:M53" si="4">_xlfn.CONCAT(B9,"-",C9)</f>
        <v>8-9</v>
      </c>
      <c r="N9">
        <f t="shared" si="3"/>
        <v>17.4807748894733</v>
      </c>
    </row>
    <row r="10" spans="1:14">
      <c r="A10" s="2">
        <v>9</v>
      </c>
      <c r="B10" s="2">
        <v>1</v>
      </c>
      <c r="C10" s="2">
        <v>10</v>
      </c>
      <c r="D10" s="3">
        <f t="shared" si="0"/>
        <v>0.712357249115615</v>
      </c>
      <c r="E10" s="3">
        <f t="shared" si="1"/>
        <v>1.52947291721882</v>
      </c>
      <c r="F10" s="3">
        <f>SQRT((VLOOKUP(B10,节点!A:E,4,0)-VLOOKUP(C10,节点!A:E,4,0))^2+(VLOOKUP(B10,节点!A:E,5,0)-VLOOKUP(C10,节点!A:E,5,0))^2)/基准点!$F$1</f>
        <v>4.19033675950362</v>
      </c>
      <c r="G10" s="3">
        <v>0.17</v>
      </c>
      <c r="H10" s="3">
        <v>0.365</v>
      </c>
      <c r="I10" s="9">
        <v>14951.6</v>
      </c>
      <c r="J10" s="2" t="s">
        <v>14</v>
      </c>
      <c r="K10">
        <v>185</v>
      </c>
      <c r="M10" t="str">
        <f t="shared" si="4"/>
        <v>1-10</v>
      </c>
      <c r="N10">
        <f t="shared" si="3"/>
        <v>15.3476159639211</v>
      </c>
    </row>
    <row r="11" spans="1:14">
      <c r="A11" s="2">
        <v>10</v>
      </c>
      <c r="B11" s="2">
        <v>10</v>
      </c>
      <c r="C11" s="2">
        <v>11</v>
      </c>
      <c r="D11" s="3">
        <f t="shared" si="0"/>
        <v>0.588147017252802</v>
      </c>
      <c r="E11" s="3">
        <f t="shared" si="1"/>
        <v>1.26278624292513</v>
      </c>
      <c r="F11" s="3">
        <f>SQRT((VLOOKUP(B11,节点!A:E,4,0)-VLOOKUP(C11,节点!A:E,4,0))^2+(VLOOKUP(B11,节点!A:E,5,0)-VLOOKUP(C11,节点!A:E,5,0))^2)/基准点!$F$1</f>
        <v>3.45968833678119</v>
      </c>
      <c r="G11" s="3">
        <v>0.17</v>
      </c>
      <c r="H11" s="3">
        <v>0.365</v>
      </c>
      <c r="I11" s="9">
        <v>14951.6</v>
      </c>
      <c r="K11">
        <v>185</v>
      </c>
      <c r="M11" t="str">
        <f t="shared" si="4"/>
        <v>10-11</v>
      </c>
      <c r="N11">
        <f t="shared" si="3"/>
        <v>15.3476159639211</v>
      </c>
    </row>
    <row r="12" spans="1:14">
      <c r="A12" s="2">
        <v>11</v>
      </c>
      <c r="B12" s="2">
        <v>10</v>
      </c>
      <c r="C12" s="2">
        <v>12</v>
      </c>
      <c r="D12" s="3">
        <f t="shared" si="0"/>
        <v>0.256154590660016</v>
      </c>
      <c r="E12" s="3">
        <f t="shared" si="1"/>
        <v>0.549978974064152</v>
      </c>
      <c r="F12" s="3">
        <f>SQRT((VLOOKUP(B12,节点!A:E,4,0)-VLOOKUP(C12,节点!A:E,4,0))^2+(VLOOKUP(B12,节点!A:E,5,0)-VLOOKUP(C12,节点!A:E,5,0))^2)/基准点!$F$1</f>
        <v>1.5067917097648</v>
      </c>
      <c r="G12" s="3">
        <v>0.17</v>
      </c>
      <c r="H12" s="3">
        <v>0.365</v>
      </c>
      <c r="I12" s="9">
        <v>14951.6</v>
      </c>
      <c r="K12">
        <v>185</v>
      </c>
      <c r="M12" t="str">
        <f t="shared" si="4"/>
        <v>10-12</v>
      </c>
      <c r="N12">
        <f t="shared" si="3"/>
        <v>15.3476159639211</v>
      </c>
    </row>
    <row r="13" spans="1:14">
      <c r="A13" s="2">
        <v>12</v>
      </c>
      <c r="B13" s="2">
        <v>12</v>
      </c>
      <c r="C13" s="2">
        <v>13</v>
      </c>
      <c r="D13" s="3">
        <f t="shared" si="0"/>
        <v>0.604365328807506</v>
      </c>
      <c r="E13" s="3">
        <f t="shared" si="1"/>
        <v>1.29760791185141</v>
      </c>
      <c r="F13" s="3">
        <f>SQRT((VLOOKUP(B13,节点!A:E,4,0)-VLOOKUP(C13,节点!A:E,4,0))^2+(VLOOKUP(B13,节点!A:E,5,0)-VLOOKUP(C13,节点!A:E,5,0))^2)/基准点!$F$1</f>
        <v>3.55509016945592</v>
      </c>
      <c r="G13" s="3">
        <v>0.17</v>
      </c>
      <c r="H13" s="3">
        <v>0.365</v>
      </c>
      <c r="I13" s="9">
        <v>14951.6</v>
      </c>
      <c r="K13">
        <v>185</v>
      </c>
      <c r="M13" t="str">
        <f t="shared" si="4"/>
        <v>12-13</v>
      </c>
      <c r="N13">
        <f t="shared" si="3"/>
        <v>15.3476159639211</v>
      </c>
    </row>
    <row r="14" spans="1:14">
      <c r="A14" s="2">
        <v>13</v>
      </c>
      <c r="B14" s="2">
        <v>1</v>
      </c>
      <c r="C14" s="2">
        <v>14</v>
      </c>
      <c r="D14" s="3">
        <f t="shared" si="0"/>
        <v>0.219908866705894</v>
      </c>
      <c r="E14" s="3">
        <f t="shared" si="1"/>
        <v>0.589755597074898</v>
      </c>
      <c r="F14" s="3">
        <f>SQRT((VLOOKUP(B14,节点!A:E,4,0)-VLOOKUP(C14,节点!A:E,4,0))^2+(VLOOKUP(B14,节点!A:E,5,0)-VLOOKUP(C14,节点!A:E,5,0))^2)/基准点!$F$1</f>
        <v>1.66597626292344</v>
      </c>
      <c r="G14" s="3">
        <v>0.132</v>
      </c>
      <c r="H14" s="3">
        <v>0.354</v>
      </c>
      <c r="I14" s="9">
        <v>18961.4</v>
      </c>
      <c r="J14" s="2" t="s">
        <v>15</v>
      </c>
      <c r="K14">
        <v>240</v>
      </c>
      <c r="M14" t="str">
        <f t="shared" si="4"/>
        <v>1-14</v>
      </c>
      <c r="N14">
        <f t="shared" si="3"/>
        <v>17.4807748894733</v>
      </c>
    </row>
    <row r="15" spans="1:14">
      <c r="A15" s="2">
        <v>14</v>
      </c>
      <c r="B15" s="2">
        <v>14</v>
      </c>
      <c r="C15" s="2">
        <v>15</v>
      </c>
      <c r="D15" s="3">
        <f t="shared" si="0"/>
        <v>0.249485273959926</v>
      </c>
      <c r="E15" s="3">
        <f t="shared" si="1"/>
        <v>0.669074143801618</v>
      </c>
      <c r="F15" s="3">
        <f>SQRT((VLOOKUP(B15,节点!A:E,4,0)-VLOOKUP(C15,节点!A:E,4,0))^2+(VLOOKUP(B15,节点!A:E,5,0)-VLOOKUP(C15,节点!A:E,5,0))^2)/基准点!$F$1</f>
        <v>1.89003995424186</v>
      </c>
      <c r="G15" s="3">
        <v>0.132</v>
      </c>
      <c r="H15" s="3">
        <v>0.354</v>
      </c>
      <c r="I15" s="9">
        <v>18961.4</v>
      </c>
      <c r="K15">
        <v>240</v>
      </c>
      <c r="M15" t="str">
        <f t="shared" si="4"/>
        <v>14-15</v>
      </c>
      <c r="N15">
        <f t="shared" si="3"/>
        <v>17.4807748894733</v>
      </c>
    </row>
    <row r="16" spans="1:14">
      <c r="A16" s="2">
        <v>15</v>
      </c>
      <c r="B16" s="2">
        <v>15</v>
      </c>
      <c r="C16" s="2">
        <v>16</v>
      </c>
      <c r="D16" s="3">
        <f t="shared" si="0"/>
        <v>0.211202515680085</v>
      </c>
      <c r="E16" s="3">
        <f t="shared" si="1"/>
        <v>0.566406746596591</v>
      </c>
      <c r="F16" s="3">
        <f>SQRT((VLOOKUP(B16,节点!A:E,4,0)-VLOOKUP(C16,节点!A:E,4,0))^2+(VLOOKUP(B16,节点!A:E,5,0)-VLOOKUP(C16,节点!A:E,5,0))^2)/基准点!$F$1</f>
        <v>1.60001905818246</v>
      </c>
      <c r="G16" s="3">
        <v>0.132</v>
      </c>
      <c r="H16" s="3">
        <v>0.354</v>
      </c>
      <c r="I16" s="9">
        <v>18961.4</v>
      </c>
      <c r="K16">
        <v>240</v>
      </c>
      <c r="M16" t="str">
        <f t="shared" si="4"/>
        <v>15-16</v>
      </c>
      <c r="N16">
        <f t="shared" si="3"/>
        <v>17.4807748894733</v>
      </c>
    </row>
    <row r="17" spans="1:14">
      <c r="A17" s="2">
        <v>16</v>
      </c>
      <c r="B17" s="2">
        <v>15</v>
      </c>
      <c r="C17" s="2">
        <v>17</v>
      </c>
      <c r="D17" s="3">
        <f t="shared" si="0"/>
        <v>0.233284871393363</v>
      </c>
      <c r="E17" s="3">
        <f t="shared" si="1"/>
        <v>0.625627609645837</v>
      </c>
      <c r="F17" s="3">
        <f>SQRT((VLOOKUP(B17,节点!A:E,4,0)-VLOOKUP(C17,节点!A:E,4,0))^2+(VLOOKUP(B17,节点!A:E,5,0)-VLOOKUP(C17,节点!A:E,5,0))^2)/基准点!$F$1</f>
        <v>1.7673096317679</v>
      </c>
      <c r="G17" s="3">
        <v>0.132</v>
      </c>
      <c r="H17" s="3">
        <v>0.354</v>
      </c>
      <c r="I17" s="9">
        <v>18961.4</v>
      </c>
      <c r="K17">
        <v>240</v>
      </c>
      <c r="M17" t="str">
        <f t="shared" si="4"/>
        <v>15-17</v>
      </c>
      <c r="N17">
        <f t="shared" si="3"/>
        <v>17.4807748894733</v>
      </c>
    </row>
    <row r="18" spans="1:14">
      <c r="A18" s="2">
        <v>17</v>
      </c>
      <c r="B18" s="2">
        <v>18</v>
      </c>
      <c r="C18" s="2">
        <v>19</v>
      </c>
      <c r="D18" s="3">
        <f t="shared" si="0"/>
        <v>0.110289213925778</v>
      </c>
      <c r="E18" s="3">
        <f t="shared" si="1"/>
        <v>0.295775619164586</v>
      </c>
      <c r="F18" s="3">
        <f>SQRT((VLOOKUP(B18,节点!A:E,4,0)-VLOOKUP(C18,节点!A:E,4,0))^2+(VLOOKUP(B18,节点!A:E,5,0)-VLOOKUP(C18,节点!A:E,5,0))^2)/基准点!$F$1</f>
        <v>0.835524347922559</v>
      </c>
      <c r="G18" s="3">
        <v>0.132</v>
      </c>
      <c r="H18" s="3">
        <v>0.354</v>
      </c>
      <c r="I18" s="9">
        <v>33600</v>
      </c>
      <c r="J18" s="2" t="s">
        <v>16</v>
      </c>
      <c r="K18">
        <v>240</v>
      </c>
      <c r="M18" t="str">
        <f t="shared" si="4"/>
        <v>18-19</v>
      </c>
      <c r="N18">
        <f t="shared" si="3"/>
        <v>17.4807748894733</v>
      </c>
    </row>
    <row r="19" spans="1:14">
      <c r="A19" s="2">
        <v>18</v>
      </c>
      <c r="B19" s="2">
        <v>19</v>
      </c>
      <c r="C19" s="2">
        <v>20</v>
      </c>
      <c r="D19" s="3">
        <f t="shared" si="0"/>
        <v>0.162820781043525</v>
      </c>
      <c r="E19" s="3">
        <f t="shared" si="1"/>
        <v>0.436655730980362</v>
      </c>
      <c r="F19" s="3">
        <f>SQRT((VLOOKUP(B19,节点!A:E,4,0)-VLOOKUP(C19,节点!A:E,4,0))^2+(VLOOKUP(B19,节点!A:E,5,0)-VLOOKUP(C19,节点!A:E,5,0))^2)/基准点!$F$1</f>
        <v>1.23349076548125</v>
      </c>
      <c r="G19" s="3">
        <v>0.132</v>
      </c>
      <c r="H19" s="3">
        <v>0.354</v>
      </c>
      <c r="I19" s="9">
        <v>33600</v>
      </c>
      <c r="K19">
        <v>240</v>
      </c>
      <c r="M19" t="str">
        <f t="shared" si="4"/>
        <v>19-20</v>
      </c>
      <c r="N19">
        <f t="shared" si="3"/>
        <v>17.4807748894733</v>
      </c>
    </row>
    <row r="20" spans="1:14">
      <c r="A20" s="2">
        <v>19</v>
      </c>
      <c r="B20" s="2">
        <v>20</v>
      </c>
      <c r="C20" s="2">
        <v>21</v>
      </c>
      <c r="D20" s="3">
        <f t="shared" si="0"/>
        <v>0.110262609460092</v>
      </c>
      <c r="E20" s="3">
        <f t="shared" si="1"/>
        <v>0.295704270824793</v>
      </c>
      <c r="F20" s="3">
        <f>SQRT((VLOOKUP(B20,节点!A:E,4,0)-VLOOKUP(C20,节点!A:E,4,0))^2+(VLOOKUP(B20,节点!A:E,5,0)-VLOOKUP(C20,节点!A:E,5,0))^2)/基准点!$F$1</f>
        <v>0.835322798940092</v>
      </c>
      <c r="G20" s="3">
        <v>0.132</v>
      </c>
      <c r="H20" s="3">
        <v>0.354</v>
      </c>
      <c r="I20" s="9">
        <v>33600</v>
      </c>
      <c r="K20">
        <v>240</v>
      </c>
      <c r="M20" t="str">
        <f t="shared" si="4"/>
        <v>20-21</v>
      </c>
      <c r="N20">
        <f t="shared" si="3"/>
        <v>17.4807748894733</v>
      </c>
    </row>
    <row r="21" spans="1:14">
      <c r="A21" s="2">
        <v>20</v>
      </c>
      <c r="B21" s="2">
        <v>20</v>
      </c>
      <c r="C21" s="2">
        <v>22</v>
      </c>
      <c r="D21" s="3">
        <f t="shared" si="0"/>
        <v>0.191008901754899</v>
      </c>
      <c r="E21" s="3">
        <f t="shared" si="1"/>
        <v>0.512251145615411</v>
      </c>
      <c r="F21" s="3">
        <f>SQRT((VLOOKUP(B21,节点!A:E,4,0)-VLOOKUP(C21,节点!A:E,4,0))^2+(VLOOKUP(B21,节点!A:E,5,0)-VLOOKUP(C21,节点!A:E,5,0))^2)/基准点!$F$1</f>
        <v>1.44703713450681</v>
      </c>
      <c r="G21" s="3">
        <v>0.132</v>
      </c>
      <c r="H21" s="3">
        <v>0.354</v>
      </c>
      <c r="I21" s="9">
        <v>33600</v>
      </c>
      <c r="K21">
        <v>240</v>
      </c>
      <c r="M21" t="str">
        <f t="shared" si="4"/>
        <v>20-22</v>
      </c>
      <c r="N21">
        <f t="shared" si="3"/>
        <v>17.4807748894733</v>
      </c>
    </row>
    <row r="22" spans="1:14">
      <c r="A22" s="2">
        <v>21</v>
      </c>
      <c r="B22" s="2">
        <v>22</v>
      </c>
      <c r="C22" s="2">
        <v>23</v>
      </c>
      <c r="D22" s="3">
        <f t="shared" si="0"/>
        <v>0.229779391180193</v>
      </c>
      <c r="E22" s="3">
        <f t="shared" si="1"/>
        <v>0.616226549074154</v>
      </c>
      <c r="F22" s="3">
        <f>SQRT((VLOOKUP(B22,节点!A:E,4,0)-VLOOKUP(C22,节点!A:E,4,0))^2+(VLOOKUP(B22,节点!A:E,5,0)-VLOOKUP(C22,节点!A:E,5,0))^2)/基准点!$F$1</f>
        <v>1.74075296348631</v>
      </c>
      <c r="G22" s="3">
        <v>0.132</v>
      </c>
      <c r="H22" s="3">
        <v>0.354</v>
      </c>
      <c r="I22" s="9">
        <v>33600</v>
      </c>
      <c r="K22">
        <v>240</v>
      </c>
      <c r="M22" t="str">
        <f t="shared" si="4"/>
        <v>22-23</v>
      </c>
      <c r="N22">
        <f t="shared" si="3"/>
        <v>17.4807748894733</v>
      </c>
    </row>
    <row r="23" spans="1:14">
      <c r="A23" s="2">
        <v>22</v>
      </c>
      <c r="B23" s="2">
        <v>22</v>
      </c>
      <c r="C23" s="2">
        <v>24</v>
      </c>
      <c r="D23" s="3">
        <f t="shared" si="0"/>
        <v>0.113945034618494</v>
      </c>
      <c r="E23" s="3">
        <f t="shared" si="1"/>
        <v>0.30557986556778</v>
      </c>
      <c r="F23" s="3">
        <f>SQRT((VLOOKUP(B23,节点!A:E,4,0)-VLOOKUP(C23,节点!A:E,4,0))^2+(VLOOKUP(B23,节点!A:E,5,0)-VLOOKUP(C23,节点!A:E,5,0))^2)/基准点!$F$1</f>
        <v>0.863219959231017</v>
      </c>
      <c r="G23" s="3">
        <v>0.132</v>
      </c>
      <c r="H23" s="3">
        <v>0.354</v>
      </c>
      <c r="I23" s="9">
        <v>33600</v>
      </c>
      <c r="K23">
        <v>240</v>
      </c>
      <c r="M23" t="str">
        <f t="shared" si="4"/>
        <v>22-24</v>
      </c>
      <c r="N23">
        <f t="shared" si="3"/>
        <v>17.4807748894733</v>
      </c>
    </row>
    <row r="24" spans="1:14">
      <c r="A24" s="2">
        <v>23</v>
      </c>
      <c r="B24" s="2">
        <v>24</v>
      </c>
      <c r="C24" s="2">
        <v>25</v>
      </c>
      <c r="D24" s="3">
        <f t="shared" si="0"/>
        <v>0.139416135600917</v>
      </c>
      <c r="E24" s="3">
        <f t="shared" si="1"/>
        <v>0.373888727293367</v>
      </c>
      <c r="F24" s="3">
        <f>SQRT((VLOOKUP(B24,节点!A:E,4,0)-VLOOKUP(C24,节点!A:E,4,0))^2+(VLOOKUP(B24,节点!A:E,5,0)-VLOOKUP(C24,节点!A:E,5,0))^2)/基准点!$F$1</f>
        <v>1.05618284546149</v>
      </c>
      <c r="G24" s="3">
        <v>0.132</v>
      </c>
      <c r="H24" s="3">
        <v>0.354</v>
      </c>
      <c r="I24" s="9">
        <v>33600</v>
      </c>
      <c r="K24">
        <v>240</v>
      </c>
      <c r="M24" t="str">
        <f t="shared" si="4"/>
        <v>24-25</v>
      </c>
      <c r="N24">
        <f t="shared" si="3"/>
        <v>17.4807748894733</v>
      </c>
    </row>
    <row r="25" spans="1:14">
      <c r="A25" s="2">
        <v>24</v>
      </c>
      <c r="B25" s="2">
        <v>25</v>
      </c>
      <c r="C25" s="2">
        <v>26</v>
      </c>
      <c r="D25" s="3">
        <f t="shared" si="0"/>
        <v>0.143129946172257</v>
      </c>
      <c r="E25" s="3">
        <f t="shared" si="1"/>
        <v>0.383848492007416</v>
      </c>
      <c r="F25" s="3">
        <f>SQRT((VLOOKUP(B25,节点!A:E,4,0)-VLOOKUP(C25,节点!A:E,4,0))^2+(VLOOKUP(B25,节点!A:E,5,0)-VLOOKUP(C25,节点!A:E,5,0))^2)/基准点!$F$1</f>
        <v>1.08431777403225</v>
      </c>
      <c r="G25" s="3">
        <v>0.132</v>
      </c>
      <c r="H25" s="3">
        <v>0.354</v>
      </c>
      <c r="I25" s="9">
        <v>33600</v>
      </c>
      <c r="K25">
        <v>240</v>
      </c>
      <c r="M25" t="str">
        <f t="shared" si="4"/>
        <v>25-26</v>
      </c>
      <c r="N25">
        <f t="shared" si="3"/>
        <v>17.4807748894733</v>
      </c>
    </row>
    <row r="26" spans="1:14">
      <c r="A26" s="2">
        <v>25</v>
      </c>
      <c r="B26" s="2">
        <v>26</v>
      </c>
      <c r="C26" s="2">
        <v>27</v>
      </c>
      <c r="D26" s="3">
        <f t="shared" si="0"/>
        <v>0.322533291894374</v>
      </c>
      <c r="E26" s="3">
        <f t="shared" si="1"/>
        <v>0.864975646444002</v>
      </c>
      <c r="F26" s="3">
        <f>SQRT((VLOOKUP(B26,节点!A:E,4,0)-VLOOKUP(C26,节点!A:E,4,0))^2+(VLOOKUP(B26,节点!A:E,5,0)-VLOOKUP(C26,节点!A:E,5,0))^2)/基准点!$F$1</f>
        <v>2.44343402950283</v>
      </c>
      <c r="G26" s="3">
        <v>0.132</v>
      </c>
      <c r="H26" s="3">
        <v>0.354</v>
      </c>
      <c r="I26" s="9">
        <v>33600</v>
      </c>
      <c r="K26">
        <v>240</v>
      </c>
      <c r="M26" t="str">
        <f t="shared" si="4"/>
        <v>26-27</v>
      </c>
      <c r="N26">
        <f t="shared" si="3"/>
        <v>17.4807748894733</v>
      </c>
    </row>
    <row r="27" spans="1:14">
      <c r="A27" s="2">
        <v>26</v>
      </c>
      <c r="B27" s="2">
        <v>26</v>
      </c>
      <c r="C27" s="2">
        <v>28</v>
      </c>
      <c r="D27" s="3">
        <f t="shared" si="0"/>
        <v>0.729533854177286</v>
      </c>
      <c r="E27" s="3">
        <f t="shared" si="1"/>
        <v>0.853333538522523</v>
      </c>
      <c r="F27" s="3">
        <f>SQRT((VLOOKUP(B27,节点!A:E,4,0)-VLOOKUP(C27,节点!A:E,4,0))^2+(VLOOKUP(B27,节点!A:E,5,0)-VLOOKUP(C27,节点!A:E,5,0))^2)/基准点!$F$1</f>
        <v>2.21070864902208</v>
      </c>
      <c r="G27" s="3">
        <v>0.33</v>
      </c>
      <c r="H27" s="3">
        <v>0.386</v>
      </c>
      <c r="I27" s="9">
        <v>36705</v>
      </c>
      <c r="J27" s="2" t="s">
        <v>17</v>
      </c>
      <c r="K27">
        <v>85</v>
      </c>
      <c r="M27" t="str">
        <f t="shared" si="4"/>
        <v>26-28</v>
      </c>
      <c r="N27">
        <f t="shared" si="3"/>
        <v>10.4031418957202</v>
      </c>
    </row>
    <row r="28" spans="1:14">
      <c r="A28" s="2">
        <v>27</v>
      </c>
      <c r="B28" s="2">
        <v>28</v>
      </c>
      <c r="C28" s="2">
        <v>29</v>
      </c>
      <c r="D28" s="3">
        <f t="shared" si="0"/>
        <v>1.77748805479186</v>
      </c>
      <c r="E28" s="3">
        <f t="shared" si="1"/>
        <v>2.0791223913626</v>
      </c>
      <c r="F28" s="3">
        <f>SQRT((VLOOKUP(B28,节点!A:E,4,0)-VLOOKUP(C28,节点!A:E,4,0))^2+(VLOOKUP(B28,节点!A:E,5,0)-VLOOKUP(C28,节点!A:E,5,0))^2)/基准点!$F$1</f>
        <v>5.38632743876322</v>
      </c>
      <c r="G28" s="3">
        <v>0.33</v>
      </c>
      <c r="H28" s="3">
        <v>0.386</v>
      </c>
      <c r="I28" s="9">
        <v>36705</v>
      </c>
      <c r="K28">
        <v>85</v>
      </c>
      <c r="M28" t="str">
        <f t="shared" si="4"/>
        <v>28-29</v>
      </c>
      <c r="N28">
        <f t="shared" si="3"/>
        <v>10.4031418957202</v>
      </c>
    </row>
    <row r="29" spans="1:14">
      <c r="A29" s="2">
        <v>28</v>
      </c>
      <c r="B29" s="2">
        <v>18</v>
      </c>
      <c r="C29" s="2">
        <v>30</v>
      </c>
      <c r="D29" s="3">
        <f t="shared" si="0"/>
        <v>0.0954885100599281</v>
      </c>
      <c r="E29" s="3">
        <f t="shared" si="1"/>
        <v>0.256082822433444</v>
      </c>
      <c r="F29" s="3">
        <f>SQRT((VLOOKUP(B29,节点!A:E,4,0)-VLOOKUP(C29,节点!A:E,4,0))^2+(VLOOKUP(B29,节点!A:E,5,0)-VLOOKUP(C29,节点!A:E,5,0))^2)/基准点!$F$1</f>
        <v>0.723397803484304</v>
      </c>
      <c r="G29" s="3">
        <v>0.132</v>
      </c>
      <c r="H29" s="3">
        <v>0.354</v>
      </c>
      <c r="I29" s="9">
        <v>12717.2</v>
      </c>
      <c r="J29" s="2" t="s">
        <v>18</v>
      </c>
      <c r="K29">
        <v>240</v>
      </c>
      <c r="M29" t="str">
        <f t="shared" si="4"/>
        <v>18-30</v>
      </c>
      <c r="N29">
        <f t="shared" si="3"/>
        <v>17.4807748894733</v>
      </c>
    </row>
    <row r="30" spans="1:14">
      <c r="A30" s="2">
        <v>29</v>
      </c>
      <c r="B30" s="2">
        <v>30</v>
      </c>
      <c r="C30" s="2">
        <v>31</v>
      </c>
      <c r="D30" s="3">
        <f t="shared" si="0"/>
        <v>0.121066686425755</v>
      </c>
      <c r="E30" s="3">
        <f t="shared" si="1"/>
        <v>0.324678840869069</v>
      </c>
      <c r="F30" s="3">
        <f>SQRT((VLOOKUP(B30,节点!A:E,4,0)-VLOOKUP(C30,节点!A:E,4,0))^2+(VLOOKUP(B30,节点!A:E,5,0)-VLOOKUP(C30,节点!A:E,5,0))^2)/基准点!$F$1</f>
        <v>0.917171866861777</v>
      </c>
      <c r="G30" s="3">
        <v>0.132</v>
      </c>
      <c r="H30" s="3">
        <v>0.354</v>
      </c>
      <c r="I30" s="9">
        <v>12717.2</v>
      </c>
      <c r="K30">
        <v>240</v>
      </c>
      <c r="M30" t="str">
        <f t="shared" si="4"/>
        <v>30-31</v>
      </c>
      <c r="N30">
        <f t="shared" si="3"/>
        <v>17.4807748894733</v>
      </c>
    </row>
    <row r="31" spans="1:14">
      <c r="A31" s="2">
        <v>30</v>
      </c>
      <c r="B31" s="2">
        <v>31</v>
      </c>
      <c r="C31" s="2">
        <v>32</v>
      </c>
      <c r="D31" s="3">
        <f t="shared" si="0"/>
        <v>0.292544769301575</v>
      </c>
      <c r="E31" s="3">
        <f t="shared" si="1"/>
        <v>0.78455188130877</v>
      </c>
      <c r="F31" s="3">
        <f>SQRT((VLOOKUP(B31,节点!A:E,4,0)-VLOOKUP(C31,节点!A:E,4,0))^2+(VLOOKUP(B31,节点!A:E,5,0)-VLOOKUP(C31,节点!A:E,5,0))^2)/基准点!$F$1</f>
        <v>2.21624825228466</v>
      </c>
      <c r="G31" s="3">
        <v>0.132</v>
      </c>
      <c r="H31" s="3">
        <v>0.354</v>
      </c>
      <c r="I31" s="9">
        <v>12717.2</v>
      </c>
      <c r="K31">
        <v>240</v>
      </c>
      <c r="M31" t="str">
        <f t="shared" si="4"/>
        <v>31-32</v>
      </c>
      <c r="N31">
        <f t="shared" si="3"/>
        <v>17.4807748894733</v>
      </c>
    </row>
    <row r="32" spans="1:14">
      <c r="A32" s="2">
        <v>31</v>
      </c>
      <c r="B32" s="2">
        <v>32</v>
      </c>
      <c r="C32" s="2">
        <v>33</v>
      </c>
      <c r="D32" s="3">
        <f t="shared" si="0"/>
        <v>0.188110869522645</v>
      </c>
      <c r="E32" s="3">
        <f t="shared" si="1"/>
        <v>0.504479150083456</v>
      </c>
      <c r="F32" s="3">
        <f>SQRT((VLOOKUP(B32,节点!A:E,4,0)-VLOOKUP(C32,节点!A:E,4,0))^2+(VLOOKUP(B32,节点!A:E,5,0)-VLOOKUP(C32,节点!A:E,5,0))^2)/基准点!$F$1</f>
        <v>1.42508234486852</v>
      </c>
      <c r="G32" s="3">
        <v>0.132</v>
      </c>
      <c r="H32" s="3">
        <v>0.354</v>
      </c>
      <c r="I32" s="9">
        <v>12717.2</v>
      </c>
      <c r="K32">
        <v>240</v>
      </c>
      <c r="M32" t="str">
        <f t="shared" si="4"/>
        <v>32-33</v>
      </c>
      <c r="N32">
        <f t="shared" si="3"/>
        <v>17.4807748894733</v>
      </c>
    </row>
    <row r="33" spans="1:14">
      <c r="A33" s="2">
        <v>32</v>
      </c>
      <c r="B33" s="2">
        <v>33</v>
      </c>
      <c r="C33" s="2">
        <v>34</v>
      </c>
      <c r="D33" s="3">
        <f t="shared" si="0"/>
        <v>0.128197264371749</v>
      </c>
      <c r="E33" s="3">
        <f t="shared" si="1"/>
        <v>0.343801754451509</v>
      </c>
      <c r="F33" s="3">
        <f>SQRT((VLOOKUP(B33,节点!A:E,4,0)-VLOOKUP(C33,节点!A:E,4,0))^2+(VLOOKUP(B33,节点!A:E,5,0)-VLOOKUP(C33,节点!A:E,5,0))^2)/基准点!$F$1</f>
        <v>0.971191396755675</v>
      </c>
      <c r="G33" s="3">
        <v>0.132</v>
      </c>
      <c r="H33" s="3">
        <v>0.354</v>
      </c>
      <c r="I33" s="9">
        <v>12717.2</v>
      </c>
      <c r="K33">
        <v>240</v>
      </c>
      <c r="M33" t="str">
        <f t="shared" si="4"/>
        <v>33-34</v>
      </c>
      <c r="N33">
        <f t="shared" si="3"/>
        <v>17.4807748894733</v>
      </c>
    </row>
    <row r="34" spans="1:14">
      <c r="A34" s="2">
        <v>33</v>
      </c>
      <c r="B34" s="2">
        <v>18</v>
      </c>
      <c r="C34" s="2">
        <v>35</v>
      </c>
      <c r="D34" s="3">
        <f t="shared" si="0"/>
        <v>0.325188757208106</v>
      </c>
      <c r="E34" s="3">
        <f t="shared" si="1"/>
        <v>0.872097121603557</v>
      </c>
      <c r="F34" s="3">
        <f>SQRT((VLOOKUP(B34,节点!A:E,4,0)-VLOOKUP(C34,节点!A:E,4,0))^2+(VLOOKUP(B34,节点!A:E,5,0)-VLOOKUP(C34,节点!A:E,5,0))^2)/基准点!$F$1</f>
        <v>2.4635511909705</v>
      </c>
      <c r="G34" s="3">
        <v>0.132</v>
      </c>
      <c r="H34" s="3">
        <v>0.354</v>
      </c>
      <c r="I34" s="9">
        <v>24420</v>
      </c>
      <c r="J34" s="2" t="s">
        <v>19</v>
      </c>
      <c r="K34">
        <v>240</v>
      </c>
      <c r="M34" t="str">
        <f t="shared" si="4"/>
        <v>18-35</v>
      </c>
      <c r="N34">
        <f t="shared" si="3"/>
        <v>17.4807748894733</v>
      </c>
    </row>
    <row r="35" spans="1:14">
      <c r="A35" s="2">
        <v>34</v>
      </c>
      <c r="B35" s="2">
        <v>35</v>
      </c>
      <c r="C35" s="2">
        <v>36</v>
      </c>
      <c r="D35" s="3">
        <f t="shared" si="0"/>
        <v>0.110749223567807</v>
      </c>
      <c r="E35" s="3">
        <f t="shared" si="1"/>
        <v>0.297009281386393</v>
      </c>
      <c r="F35" s="3">
        <f>SQRT((VLOOKUP(B35,节点!A:E,4,0)-VLOOKUP(C35,节点!A:E,4,0))^2+(VLOOKUP(B35,节点!A:E,5,0)-VLOOKUP(C35,节点!A:E,5,0))^2)/基准点!$F$1</f>
        <v>0.839009269453087</v>
      </c>
      <c r="G35" s="3">
        <v>0.132</v>
      </c>
      <c r="H35" s="3">
        <v>0.354</v>
      </c>
      <c r="I35" s="9">
        <v>24420</v>
      </c>
      <c r="K35">
        <v>240</v>
      </c>
      <c r="M35" t="str">
        <f t="shared" si="4"/>
        <v>35-36</v>
      </c>
      <c r="N35">
        <f t="shared" ref="N35:N53" si="5">SQRT(4*K35/PI())</f>
        <v>17.4807748894733</v>
      </c>
    </row>
    <row r="36" spans="1:14">
      <c r="A36" s="2">
        <v>35</v>
      </c>
      <c r="B36" s="2">
        <v>36</v>
      </c>
      <c r="C36" s="2">
        <v>37</v>
      </c>
      <c r="D36" s="3">
        <f t="shared" si="0"/>
        <v>0.219066375359689</v>
      </c>
      <c r="E36" s="3">
        <f t="shared" si="1"/>
        <v>0.587496188464622</v>
      </c>
      <c r="F36" s="3">
        <f>SQRT((VLOOKUP(B36,节点!A:E,4,0)-VLOOKUP(C36,节点!A:E,4,0))^2+(VLOOKUP(B36,节点!A:E,5,0)-VLOOKUP(C36,节点!A:E,5,0))^2)/基准点!$F$1</f>
        <v>1.65959375272492</v>
      </c>
      <c r="G36" s="3">
        <v>0.132</v>
      </c>
      <c r="H36" s="3">
        <v>0.354</v>
      </c>
      <c r="I36" s="9">
        <v>24420</v>
      </c>
      <c r="K36">
        <v>240</v>
      </c>
      <c r="M36" t="str">
        <f t="shared" si="4"/>
        <v>36-37</v>
      </c>
      <c r="N36">
        <f t="shared" si="5"/>
        <v>17.4807748894733</v>
      </c>
    </row>
    <row r="37" spans="1:14">
      <c r="A37" s="2">
        <v>36</v>
      </c>
      <c r="B37" s="2">
        <v>18</v>
      </c>
      <c r="C37" s="2">
        <v>38</v>
      </c>
      <c r="D37" s="3">
        <f t="shared" si="0"/>
        <v>0.401641164638153</v>
      </c>
      <c r="E37" s="3">
        <f t="shared" si="1"/>
        <v>0.862347206428975</v>
      </c>
      <c r="F37" s="3">
        <f>SQRT((VLOOKUP(B37,节点!A:E,4,0)-VLOOKUP(C37,节点!A:E,4,0))^2+(VLOOKUP(B37,节点!A:E,5,0)-VLOOKUP(C37,节点!A:E,5,0))^2)/基准点!$F$1</f>
        <v>2.36259508610678</v>
      </c>
      <c r="G37" s="3">
        <v>0.17</v>
      </c>
      <c r="H37" s="3">
        <v>0.365</v>
      </c>
      <c r="I37" s="9">
        <v>23751</v>
      </c>
      <c r="J37" s="2" t="s">
        <v>20</v>
      </c>
      <c r="K37">
        <v>185</v>
      </c>
      <c r="M37" t="str">
        <f t="shared" si="4"/>
        <v>18-38</v>
      </c>
      <c r="N37">
        <f t="shared" si="5"/>
        <v>15.3476159639211</v>
      </c>
    </row>
    <row r="38" spans="1:14">
      <c r="A38" s="2">
        <v>37</v>
      </c>
      <c r="B38" s="2">
        <v>38</v>
      </c>
      <c r="C38" s="2">
        <v>39</v>
      </c>
      <c r="D38" s="3">
        <f t="shared" si="0"/>
        <v>0.357221424223226</v>
      </c>
      <c r="E38" s="3">
        <f t="shared" si="1"/>
        <v>0.76697541083222</v>
      </c>
      <c r="F38" s="3">
        <f>SQRT((VLOOKUP(B38,节点!A:E,4,0)-VLOOKUP(C38,节点!A:E,4,0))^2+(VLOOKUP(B38,节点!A:E,5,0)-VLOOKUP(C38,节点!A:E,5,0))^2)/基准点!$F$1</f>
        <v>2.10130249543074</v>
      </c>
      <c r="G38" s="3">
        <v>0.17</v>
      </c>
      <c r="H38" s="3">
        <v>0.365</v>
      </c>
      <c r="I38" s="9">
        <v>23751</v>
      </c>
      <c r="K38">
        <v>185</v>
      </c>
      <c r="M38" t="str">
        <f t="shared" si="4"/>
        <v>38-39</v>
      </c>
      <c r="N38">
        <f t="shared" si="5"/>
        <v>15.3476159639211</v>
      </c>
    </row>
    <row r="39" spans="1:14">
      <c r="A39" s="2">
        <v>38</v>
      </c>
      <c r="B39" s="2">
        <v>39</v>
      </c>
      <c r="C39" s="2">
        <v>40</v>
      </c>
      <c r="D39" s="3">
        <f t="shared" si="0"/>
        <v>0.0604180625439538</v>
      </c>
      <c r="E39" s="3">
        <f t="shared" si="1"/>
        <v>0.162030258640603</v>
      </c>
      <c r="F39" s="3">
        <f>SQRT((VLOOKUP(B39,节点!A:E,4,0)-VLOOKUP(C39,节点!A:E,4,0))^2+(VLOOKUP(B39,节点!A:E,5,0)-VLOOKUP(C39,节点!A:E,5,0))^2)/基准点!$F$1</f>
        <v>0.457712595029953</v>
      </c>
      <c r="G39" s="3">
        <v>0.132</v>
      </c>
      <c r="H39" s="3">
        <v>0.354</v>
      </c>
      <c r="I39" s="9">
        <v>32580</v>
      </c>
      <c r="J39" s="2" t="s">
        <v>21</v>
      </c>
      <c r="K39">
        <v>240</v>
      </c>
      <c r="M39" t="str">
        <f t="shared" si="4"/>
        <v>39-40</v>
      </c>
      <c r="N39">
        <f t="shared" si="5"/>
        <v>17.4807748894733</v>
      </c>
    </row>
    <row r="40" spans="1:14">
      <c r="A40" s="2">
        <v>39</v>
      </c>
      <c r="B40" s="2">
        <v>40</v>
      </c>
      <c r="C40" s="2">
        <v>41</v>
      </c>
      <c r="D40" s="3">
        <f t="shared" si="0"/>
        <v>0.412786603838701</v>
      </c>
      <c r="E40" s="3">
        <f t="shared" si="1"/>
        <v>1.10701861938561</v>
      </c>
      <c r="F40" s="3">
        <f>SQRT((VLOOKUP(B40,节点!A:E,4,0)-VLOOKUP(C40,节点!A:E,4,0))^2+(VLOOKUP(B40,节点!A:E,5,0)-VLOOKUP(C40,节点!A:E,5,0))^2)/基准点!$F$1</f>
        <v>3.12717124120228</v>
      </c>
      <c r="G40" s="3">
        <v>0.132</v>
      </c>
      <c r="H40" s="3">
        <v>0.354</v>
      </c>
      <c r="I40" s="9">
        <v>32580</v>
      </c>
      <c r="K40">
        <v>240</v>
      </c>
      <c r="M40" t="str">
        <f t="shared" si="4"/>
        <v>40-41</v>
      </c>
      <c r="N40">
        <f t="shared" si="5"/>
        <v>17.4807748894733</v>
      </c>
    </row>
    <row r="41" spans="1:14">
      <c r="A41" s="2">
        <v>40</v>
      </c>
      <c r="B41" s="2">
        <v>18</v>
      </c>
      <c r="C41" s="2">
        <v>42</v>
      </c>
      <c r="D41" s="3">
        <f t="shared" si="0"/>
        <v>0.112822755067814</v>
      </c>
      <c r="E41" s="3">
        <f t="shared" si="1"/>
        <v>0.242237091763249</v>
      </c>
      <c r="F41" s="3">
        <f>SQRT((VLOOKUP(B41,节点!A:E,4,0)-VLOOKUP(C41,节点!A:E,4,0))^2+(VLOOKUP(B41,节点!A:E,5,0)-VLOOKUP(C41,节点!A:E,5,0))^2)/基准点!$F$1</f>
        <v>0.663663265104791</v>
      </c>
      <c r="G41" s="3">
        <v>0.17</v>
      </c>
      <c r="H41" s="3">
        <v>0.365</v>
      </c>
      <c r="I41" s="9">
        <v>26091.9</v>
      </c>
      <c r="J41" s="2" t="s">
        <v>22</v>
      </c>
      <c r="K41">
        <v>185</v>
      </c>
      <c r="M41" t="str">
        <f t="shared" si="4"/>
        <v>18-42</v>
      </c>
      <c r="N41">
        <f t="shared" si="5"/>
        <v>15.3476159639211</v>
      </c>
    </row>
    <row r="42" spans="1:14">
      <c r="A42" s="2">
        <v>41</v>
      </c>
      <c r="B42" s="2">
        <v>42</v>
      </c>
      <c r="C42" s="2">
        <v>43</v>
      </c>
      <c r="D42" s="3">
        <f t="shared" si="0"/>
        <v>0.851615814346464</v>
      </c>
      <c r="E42" s="3">
        <f t="shared" si="1"/>
        <v>1.82846924844976</v>
      </c>
      <c r="F42" s="3">
        <f>SQRT((VLOOKUP(B42,节点!A:E,4,0)-VLOOKUP(C42,节点!A:E,4,0))^2+(VLOOKUP(B42,节点!A:E,5,0)-VLOOKUP(C42,节点!A:E,5,0))^2)/基准点!$F$1</f>
        <v>5.00950479027332</v>
      </c>
      <c r="G42" s="3">
        <v>0.17</v>
      </c>
      <c r="H42" s="3">
        <v>0.365</v>
      </c>
      <c r="I42" s="9">
        <v>26091.9</v>
      </c>
      <c r="K42">
        <v>185</v>
      </c>
      <c r="M42" t="str">
        <f t="shared" si="4"/>
        <v>42-43</v>
      </c>
      <c r="N42">
        <f t="shared" si="5"/>
        <v>15.3476159639211</v>
      </c>
    </row>
    <row r="43" spans="1:14">
      <c r="A43" s="2">
        <v>42</v>
      </c>
      <c r="B43" s="2">
        <v>18</v>
      </c>
      <c r="C43" s="2">
        <v>44</v>
      </c>
      <c r="D43" s="3">
        <f t="shared" si="0"/>
        <v>0.102543857661962</v>
      </c>
      <c r="E43" s="3">
        <f t="shared" si="1"/>
        <v>0.275003981911626</v>
      </c>
      <c r="F43" s="3">
        <f>SQRT((VLOOKUP(B43,节点!A:E,4,0)-VLOOKUP(C43,节点!A:E,4,0))^2+(VLOOKUP(B43,节点!A:E,5,0)-VLOOKUP(C43,节点!A:E,5,0))^2)/基准点!$F$1</f>
        <v>0.776847406530016</v>
      </c>
      <c r="G43" s="3">
        <v>0.132</v>
      </c>
      <c r="H43" s="3">
        <v>0.354</v>
      </c>
      <c r="I43" s="9">
        <v>18108.3</v>
      </c>
      <c r="J43" s="2" t="s">
        <v>23</v>
      </c>
      <c r="K43">
        <v>240</v>
      </c>
      <c r="M43" t="str">
        <f t="shared" si="4"/>
        <v>18-44</v>
      </c>
      <c r="N43">
        <f t="shared" si="5"/>
        <v>17.4807748894733</v>
      </c>
    </row>
    <row r="44" spans="1:14">
      <c r="A44" s="2">
        <v>43</v>
      </c>
      <c r="B44" s="2">
        <v>44</v>
      </c>
      <c r="C44" s="2">
        <v>45</v>
      </c>
      <c r="D44" s="3">
        <f t="shared" si="0"/>
        <v>0.175233919018134</v>
      </c>
      <c r="E44" s="3">
        <f t="shared" si="1"/>
        <v>0.469945510094087</v>
      </c>
      <c r="F44" s="3">
        <f>SQRT((VLOOKUP(B44,节点!A:E,4,0)-VLOOKUP(C44,节点!A:E,4,0))^2+(VLOOKUP(B44,节点!A:E,5,0)-VLOOKUP(C44,节点!A:E,5,0))^2)/基准点!$F$1</f>
        <v>1.32752968953132</v>
      </c>
      <c r="G44" s="3">
        <v>0.132</v>
      </c>
      <c r="H44" s="3">
        <v>0.354</v>
      </c>
      <c r="I44" s="9">
        <v>18108.3</v>
      </c>
      <c r="K44">
        <v>240</v>
      </c>
      <c r="M44" t="str">
        <f t="shared" si="4"/>
        <v>44-45</v>
      </c>
      <c r="N44">
        <f t="shared" si="5"/>
        <v>17.4807748894733</v>
      </c>
    </row>
    <row r="45" spans="1:14">
      <c r="A45" s="2">
        <v>44</v>
      </c>
      <c r="B45" s="2">
        <v>45</v>
      </c>
      <c r="C45" s="2">
        <v>46</v>
      </c>
      <c r="D45" s="3">
        <f t="shared" si="0"/>
        <v>0.423994069334731</v>
      </c>
      <c r="E45" s="3">
        <f t="shared" si="1"/>
        <v>1.13707500412496</v>
      </c>
      <c r="F45" s="3">
        <f>SQRT((VLOOKUP(B45,节点!A:E,4,0)-VLOOKUP(C45,节点!A:E,4,0))^2+(VLOOKUP(B45,节点!A:E,5,0)-VLOOKUP(C45,节点!A:E,5,0))^2)/基准点!$F$1</f>
        <v>3.21207628283887</v>
      </c>
      <c r="G45" s="3">
        <v>0.132</v>
      </c>
      <c r="H45" s="3">
        <v>0.354</v>
      </c>
      <c r="I45" s="9">
        <v>18108.3</v>
      </c>
      <c r="K45">
        <v>240</v>
      </c>
      <c r="M45" t="str">
        <f t="shared" si="4"/>
        <v>45-46</v>
      </c>
      <c r="N45">
        <f t="shared" si="5"/>
        <v>17.4807748894733</v>
      </c>
    </row>
    <row r="46" spans="1:14">
      <c r="A46" s="2">
        <v>45</v>
      </c>
      <c r="B46" s="2">
        <v>4</v>
      </c>
      <c r="C46" s="2">
        <v>6</v>
      </c>
      <c r="D46" s="3">
        <f t="shared" ref="D46:D53" si="6">F46*G46</f>
        <v>0.144339923259406</v>
      </c>
      <c r="E46" s="3">
        <f t="shared" ref="E46:E53" si="7">F46*H46</f>
        <v>0.309906305821665</v>
      </c>
      <c r="F46" s="3">
        <f>SQRT((VLOOKUP(B46,节点!A:E,4,0)-VLOOKUP(C46,节点!A:E,4,0))^2+(VLOOKUP(B46,节点!A:E,5,0)-VLOOKUP(C46,节点!A:E,5,0))^2)/基准点!$F$1</f>
        <v>0.849058372114151</v>
      </c>
      <c r="G46" s="3">
        <v>0.17</v>
      </c>
      <c r="H46" s="3">
        <v>0.365</v>
      </c>
      <c r="I46" s="9">
        <v>10000</v>
      </c>
      <c r="J46" s="2" t="s">
        <v>24</v>
      </c>
      <c r="K46">
        <v>185</v>
      </c>
      <c r="M46" t="str">
        <f t="shared" si="4"/>
        <v>4-6</v>
      </c>
      <c r="N46">
        <f t="shared" si="5"/>
        <v>15.3476159639211</v>
      </c>
    </row>
    <row r="47" spans="1:14">
      <c r="A47" s="2">
        <v>46</v>
      </c>
      <c r="B47" s="2">
        <v>9</v>
      </c>
      <c r="C47" s="2">
        <v>11</v>
      </c>
      <c r="D47" s="3">
        <f t="shared" si="6"/>
        <v>0.184639669167012</v>
      </c>
      <c r="E47" s="3">
        <f t="shared" si="7"/>
        <v>0.396432230858584</v>
      </c>
      <c r="F47" s="3">
        <f>SQRT((VLOOKUP(B47,节点!A:E,4,0)-VLOOKUP(C47,节点!A:E,4,0))^2+(VLOOKUP(B47,节点!A:E,5,0)-VLOOKUP(C47,节点!A:E,5,0))^2)/基准点!$F$1</f>
        <v>1.08611570098242</v>
      </c>
      <c r="G47" s="3">
        <v>0.17</v>
      </c>
      <c r="H47" s="3">
        <v>0.365</v>
      </c>
      <c r="I47" s="9">
        <v>10000</v>
      </c>
      <c r="K47">
        <v>185</v>
      </c>
      <c r="M47" t="str">
        <f t="shared" si="4"/>
        <v>9-11</v>
      </c>
      <c r="N47">
        <f t="shared" si="5"/>
        <v>15.3476159639211</v>
      </c>
    </row>
    <row r="48" spans="1:14">
      <c r="A48" s="2">
        <v>47</v>
      </c>
      <c r="B48" s="2">
        <v>21</v>
      </c>
      <c r="C48" s="2">
        <v>24</v>
      </c>
      <c r="D48" s="3">
        <f t="shared" si="6"/>
        <v>0.213553258663387</v>
      </c>
      <c r="E48" s="3">
        <f t="shared" si="7"/>
        <v>0.458511408306684</v>
      </c>
      <c r="F48" s="3">
        <f>SQRT((VLOOKUP(B48,节点!A:E,4,0)-VLOOKUP(C48,节点!A:E,4,0))^2+(VLOOKUP(B48,节点!A:E,5,0)-VLOOKUP(C48,节点!A:E,5,0))^2)/基准点!$F$1</f>
        <v>1.2561956391964</v>
      </c>
      <c r="G48" s="3">
        <v>0.17</v>
      </c>
      <c r="H48" s="3">
        <v>0.365</v>
      </c>
      <c r="I48" s="9">
        <v>10000</v>
      </c>
      <c r="K48">
        <v>185</v>
      </c>
      <c r="M48" t="str">
        <f t="shared" si="4"/>
        <v>21-24</v>
      </c>
      <c r="N48">
        <f t="shared" si="5"/>
        <v>15.3476159639211</v>
      </c>
    </row>
    <row r="49" spans="1:14">
      <c r="A49" s="2">
        <v>48</v>
      </c>
      <c r="B49" s="2">
        <v>22</v>
      </c>
      <c r="C49" s="2">
        <v>39</v>
      </c>
      <c r="D49" s="3">
        <f t="shared" si="6"/>
        <v>0.339905880039102</v>
      </c>
      <c r="E49" s="3">
        <f t="shared" si="7"/>
        <v>0.729797918907483</v>
      </c>
      <c r="F49" s="3">
        <f>SQRT((VLOOKUP(B49,节点!A:E,4,0)-VLOOKUP(C49,节点!A:E,4,0))^2+(VLOOKUP(B49,节点!A:E,5,0)-VLOOKUP(C49,节点!A:E,5,0))^2)/基准点!$F$1</f>
        <v>1.99944635317119</v>
      </c>
      <c r="G49" s="3">
        <v>0.17</v>
      </c>
      <c r="H49" s="3">
        <v>0.365</v>
      </c>
      <c r="I49" s="9">
        <v>10000</v>
      </c>
      <c r="K49">
        <v>185</v>
      </c>
      <c r="M49" t="str">
        <f t="shared" si="4"/>
        <v>22-39</v>
      </c>
      <c r="N49">
        <f t="shared" si="5"/>
        <v>15.3476159639211</v>
      </c>
    </row>
    <row r="50" spans="1:14">
      <c r="A50" s="2">
        <v>49</v>
      </c>
      <c r="B50" s="2">
        <v>33</v>
      </c>
      <c r="C50" s="2">
        <v>37</v>
      </c>
      <c r="D50" s="3">
        <f t="shared" si="6"/>
        <v>0.568367772851088</v>
      </c>
      <c r="E50" s="3">
        <f t="shared" si="7"/>
        <v>1.22031904170969</v>
      </c>
      <c r="F50" s="3">
        <f>SQRT((VLOOKUP(B50,节点!A:E,4,0)-VLOOKUP(C50,节点!A:E,4,0))^2+(VLOOKUP(B50,节点!A:E,5,0)-VLOOKUP(C50,节点!A:E,5,0))^2)/基准点!$F$1</f>
        <v>3.34333984030052</v>
      </c>
      <c r="G50" s="3">
        <v>0.17</v>
      </c>
      <c r="H50" s="3">
        <v>0.365</v>
      </c>
      <c r="I50" s="9">
        <v>10000</v>
      </c>
      <c r="K50">
        <v>185</v>
      </c>
      <c r="M50" t="str">
        <f t="shared" si="4"/>
        <v>33-37</v>
      </c>
      <c r="N50">
        <f t="shared" si="5"/>
        <v>15.3476159639211</v>
      </c>
    </row>
    <row r="51" spans="1:14">
      <c r="A51" s="2">
        <v>50</v>
      </c>
      <c r="B51" s="2">
        <v>40</v>
      </c>
      <c r="C51" s="2">
        <v>43</v>
      </c>
      <c r="D51" s="3">
        <f t="shared" si="6"/>
        <v>0.385607216101223</v>
      </c>
      <c r="E51" s="3">
        <f t="shared" si="7"/>
        <v>0.827921375746744</v>
      </c>
      <c r="F51" s="3">
        <f>SQRT((VLOOKUP(B51,节点!A:E,4,0)-VLOOKUP(C51,节点!A:E,4,0))^2+(VLOOKUP(B51,节点!A:E,5,0)-VLOOKUP(C51,节点!A:E,5,0))^2)/基准点!$F$1</f>
        <v>2.2682777417719</v>
      </c>
      <c r="G51" s="3">
        <v>0.17</v>
      </c>
      <c r="H51" s="3">
        <v>0.365</v>
      </c>
      <c r="I51" s="9">
        <v>10000</v>
      </c>
      <c r="K51">
        <v>185</v>
      </c>
      <c r="M51" t="str">
        <f t="shared" si="4"/>
        <v>40-43</v>
      </c>
      <c r="N51">
        <f t="shared" si="5"/>
        <v>15.3476159639211</v>
      </c>
    </row>
    <row r="52" spans="1:14">
      <c r="A52" s="2">
        <v>51</v>
      </c>
      <c r="B52" s="2">
        <v>13</v>
      </c>
      <c r="C52" s="2">
        <v>28</v>
      </c>
      <c r="D52" s="3">
        <f t="shared" si="6"/>
        <v>0.62255499205198</v>
      </c>
      <c r="E52" s="3">
        <f t="shared" si="7"/>
        <v>1.33666218881749</v>
      </c>
      <c r="F52" s="3">
        <f>SQRT((VLOOKUP(B52,节点!A:E,4,0)-VLOOKUP(C52,节点!A:E,4,0))^2+(VLOOKUP(B52,节点!A:E,5,0)-VLOOKUP(C52,节点!A:E,5,0))^2)/基准点!$F$1</f>
        <v>3.66208818854106</v>
      </c>
      <c r="G52" s="3">
        <v>0.17</v>
      </c>
      <c r="H52" s="3">
        <v>0.365</v>
      </c>
      <c r="I52" s="9">
        <v>10000</v>
      </c>
      <c r="K52">
        <v>185</v>
      </c>
      <c r="M52" t="str">
        <f t="shared" si="4"/>
        <v>13-28</v>
      </c>
      <c r="N52">
        <f t="shared" si="5"/>
        <v>15.3476159639211</v>
      </c>
    </row>
    <row r="53" spans="1:14">
      <c r="A53" s="2">
        <v>52</v>
      </c>
      <c r="B53" s="2">
        <v>16</v>
      </c>
      <c r="C53" s="2">
        <v>40</v>
      </c>
      <c r="D53" s="3">
        <f t="shared" si="6"/>
        <v>0.390584707375121</v>
      </c>
      <c r="E53" s="3">
        <f t="shared" si="7"/>
        <v>0.838608342305406</v>
      </c>
      <c r="F53" s="3">
        <f>SQRT((VLOOKUP(B53,节点!A:E,4,0)-VLOOKUP(C53,节点!A:E,4,0))^2+(VLOOKUP(B53,节点!A:E,5,0)-VLOOKUP(C53,节点!A:E,5,0))^2)/基准点!$F$1</f>
        <v>2.29755710220659</v>
      </c>
      <c r="G53" s="3">
        <v>0.17</v>
      </c>
      <c r="H53" s="3">
        <v>0.365</v>
      </c>
      <c r="I53" s="9">
        <v>10000</v>
      </c>
      <c r="K53">
        <v>185</v>
      </c>
      <c r="M53" t="str">
        <f t="shared" si="4"/>
        <v>16-40</v>
      </c>
      <c r="N53">
        <f t="shared" si="5"/>
        <v>15.3476159639211</v>
      </c>
    </row>
  </sheetData>
  <mergeCells count="14">
    <mergeCell ref="J2:J4"/>
    <mergeCell ref="J5:J7"/>
    <mergeCell ref="J8:J9"/>
    <mergeCell ref="J10:J13"/>
    <mergeCell ref="J14:J17"/>
    <mergeCell ref="J18:J26"/>
    <mergeCell ref="J27:J28"/>
    <mergeCell ref="J29:J33"/>
    <mergeCell ref="J34:J36"/>
    <mergeCell ref="J37:J38"/>
    <mergeCell ref="J39:J40"/>
    <mergeCell ref="J41:J42"/>
    <mergeCell ref="J43:J45"/>
    <mergeCell ref="J46:J5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zoomScale="85" zoomScaleNormal="85" topLeftCell="A11" workbookViewId="0">
      <selection activeCell="F47" sqref="F47:F49"/>
    </sheetView>
  </sheetViews>
  <sheetFormatPr defaultColWidth="8.72727272727273" defaultRowHeight="14"/>
  <cols>
    <col min="1" max="1" width="11.8181818181818" style="2" customWidth="1"/>
    <col min="2" max="2" width="11.8181818181818" style="3" customWidth="1"/>
    <col min="3" max="3" width="9.54545454545454" style="3" customWidth="1"/>
    <col min="4" max="5" width="8.54545454545454" style="2" customWidth="1"/>
    <col min="6" max="6" width="45.5454545454545" style="2" customWidth="1"/>
    <col min="7" max="7" width="14" style="4" customWidth="1"/>
    <col min="8" max="8" width="9.54545454545454" style="4" customWidth="1"/>
    <col min="9" max="9" width="8.54545454545454" style="2" customWidth="1"/>
    <col min="10" max="10" width="11.8181818181818" style="2" customWidth="1"/>
    <col min="11" max="11" width="14" style="2" customWidth="1"/>
    <col min="12" max="12" width="16.2727272727273" style="2" customWidth="1"/>
    <col min="13" max="14" width="12.8181818181818" customWidth="1"/>
  </cols>
  <sheetData>
    <row r="1" spans="1:14">
      <c r="A1" t="s">
        <v>25</v>
      </c>
      <c r="B1">
        <f>SQRT(SUM(B4:B20)^2+SUM(C4:C20)^2)</f>
        <v>8176.41445177015</v>
      </c>
    </row>
    <row r="2" spans="1:14">
      <c r="A2" t="s">
        <v>26</v>
      </c>
      <c r="B2">
        <f>SQRT(SUM(B21:B49)^2+SUM(C21:C49)^2)</f>
        <v>36451.7084316905</v>
      </c>
    </row>
    <row r="3" spans="1:14">
      <c r="A3" s="2" t="s">
        <v>27</v>
      </c>
      <c r="B3" s="3" t="s">
        <v>28</v>
      </c>
      <c r="C3" s="3" t="s">
        <v>29</v>
      </c>
      <c r="D3" s="2" t="s">
        <v>30</v>
      </c>
      <c r="E3" s="2" t="s">
        <v>31</v>
      </c>
      <c r="F3" s="2" t="s">
        <v>9</v>
      </c>
      <c r="G3" s="4" t="s">
        <v>32</v>
      </c>
      <c r="H3" s="4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>
        <v>4</v>
      </c>
      <c r="N3" cm="1">
        <f ca="1" t="array" ref="N3:N6">_xlfn.LET(_xlpm.n,$M$3,_xlpm.r,_xlfn.RANDARRAY(_xlpm.n,1),_xlpm.s,_xlpm.r/SUM(_xlpm.r),_xlfn._xlws.SORT(_xlpm.s,1,-1))</f>
        <v>0.317581454041459</v>
      </c>
    </row>
    <row r="4" spans="1:14">
      <c r="A4" s="2">
        <v>1</v>
      </c>
      <c r="B4" s="3">
        <f>I4*J4*G4*H4*K4</f>
        <v>0</v>
      </c>
      <c r="C4" s="3">
        <f>0.15*9890*G4*SQRT(1-H4^2)*K4</f>
        <v>0</v>
      </c>
      <c r="D4" s="2">
        <v>99.265</v>
      </c>
      <c r="E4" s="2">
        <v>319.446</v>
      </c>
      <c r="F4" s="2" t="s">
        <v>38</v>
      </c>
      <c r="G4" s="4">
        <v>0</v>
      </c>
      <c r="H4" s="4">
        <v>0.740326182233572</v>
      </c>
      <c r="I4" s="2">
        <v>0</v>
      </c>
      <c r="J4" s="5">
        <v>0</v>
      </c>
      <c r="K4" s="2">
        <v>0.5</v>
      </c>
      <c r="L4" s="2">
        <f ca="1">0.7+(0.9-0.7)*RAND()</f>
        <v>0.728739560493285</v>
      </c>
      <c r="N4">
        <v>0.310634497518772</v>
      </c>
    </row>
    <row r="5" spans="1:14">
      <c r="A5" s="2">
        <v>2</v>
      </c>
      <c r="B5" s="3">
        <f t="shared" ref="B5:B49" si="0">I5*J5*G5*H5*K5</f>
        <v>215.42310710001</v>
      </c>
      <c r="C5" s="3">
        <f t="shared" ref="C5:C49" si="1">0.15*9890*G5*SQRT(1-H5^2)*K5</f>
        <v>197.361479709737</v>
      </c>
      <c r="D5" s="2">
        <v>90.993</v>
      </c>
      <c r="E5" s="2">
        <v>315.375</v>
      </c>
      <c r="F5" s="2" t="s">
        <v>11</v>
      </c>
      <c r="G5" s="6">
        <v>0.393882115329596</v>
      </c>
      <c r="H5" s="4">
        <v>0.737341144855132</v>
      </c>
      <c r="I5" s="2">
        <v>9890</v>
      </c>
      <c r="J5" s="7">
        <v>0.15</v>
      </c>
      <c r="K5" s="2">
        <v>0.5</v>
      </c>
      <c r="L5" s="2">
        <f ca="1" t="shared" ref="L5:L14" si="2">0.7+(0.9-0.7)*RAND()</f>
        <v>0.760098669474111</v>
      </c>
      <c r="N5">
        <v>0.205791321670595</v>
      </c>
    </row>
    <row r="6" spans="1:14">
      <c r="A6" s="2">
        <v>3</v>
      </c>
      <c r="B6" s="3">
        <f t="shared" si="0"/>
        <v>207.452094417236</v>
      </c>
      <c r="C6" s="3">
        <f t="shared" si="1"/>
        <v>160.801525199614</v>
      </c>
      <c r="D6" s="2">
        <v>84.463</v>
      </c>
      <c r="E6" s="2">
        <v>304.755</v>
      </c>
      <c r="G6" s="4">
        <v>0.353860083508956</v>
      </c>
      <c r="H6" s="4">
        <v>0.790366807389159</v>
      </c>
      <c r="I6" s="2">
        <v>9890</v>
      </c>
      <c r="J6" s="7">
        <v>0.15</v>
      </c>
      <c r="K6" s="2">
        <v>0.5</v>
      </c>
      <c r="L6" s="2">
        <f ca="1" t="shared" si="2"/>
        <v>0.75140371433407</v>
      </c>
      <c r="N6">
        <v>0.165992726769174</v>
      </c>
    </row>
    <row r="7" spans="1:14">
      <c r="A7" s="2">
        <v>4</v>
      </c>
      <c r="B7" s="3">
        <f t="shared" si="0"/>
        <v>152.719624658796</v>
      </c>
      <c r="C7" s="3">
        <f t="shared" si="1"/>
        <v>108.109669403841</v>
      </c>
      <c r="D7" s="2">
        <v>120.466</v>
      </c>
      <c r="E7" s="2">
        <v>231.509</v>
      </c>
      <c r="G7" s="4">
        <v>0.252257801161448</v>
      </c>
      <c r="H7" s="4">
        <v>0.816192664405542</v>
      </c>
      <c r="I7" s="2">
        <v>9890</v>
      </c>
      <c r="J7" s="7">
        <v>0.15</v>
      </c>
      <c r="K7" s="2">
        <v>0.5</v>
      </c>
      <c r="L7" s="2">
        <f ca="1" t="shared" si="2"/>
        <v>0.747966335943466</v>
      </c>
    </row>
    <row r="8" spans="1:14">
      <c r="A8" s="2">
        <v>5</v>
      </c>
      <c r="B8" s="3">
        <f t="shared" si="0"/>
        <v>346.550947424422</v>
      </c>
      <c r="C8" s="3">
        <f t="shared" si="1"/>
        <v>164.563557156105</v>
      </c>
      <c r="D8" s="2">
        <v>107.734</v>
      </c>
      <c r="E8" s="2">
        <v>296.99</v>
      </c>
      <c r="F8" s="2" t="s">
        <v>12</v>
      </c>
      <c r="G8" s="4">
        <v>0.400292687377452</v>
      </c>
      <c r="H8" s="4">
        <v>0.832356407570434</v>
      </c>
      <c r="I8" s="2">
        <v>34670.4</v>
      </c>
      <c r="J8" s="7">
        <v>0.06</v>
      </c>
      <c r="K8" s="2">
        <v>0.5</v>
      </c>
      <c r="L8" s="2">
        <f ca="1" t="shared" si="2"/>
        <v>0.782696957250781</v>
      </c>
    </row>
    <row r="9" spans="1:14">
      <c r="A9" s="2">
        <v>6</v>
      </c>
      <c r="B9" s="3">
        <f t="shared" si="0"/>
        <v>307.885892541009</v>
      </c>
      <c r="C9" s="3">
        <f t="shared" si="1"/>
        <v>158.631452610288</v>
      </c>
      <c r="D9" s="2">
        <v>128.404</v>
      </c>
      <c r="E9" s="2">
        <v>247.643</v>
      </c>
      <c r="G9" s="4">
        <v>0.365184626195157</v>
      </c>
      <c r="H9" s="4">
        <v>0.810582450540691</v>
      </c>
      <c r="I9" s="2">
        <v>34670.4</v>
      </c>
      <c r="J9" s="7">
        <v>0.06</v>
      </c>
      <c r="K9" s="2">
        <v>0.5</v>
      </c>
      <c r="L9" s="2">
        <f ca="1" t="shared" si="2"/>
        <v>0.778320801200107</v>
      </c>
    </row>
    <row r="10" spans="1:14">
      <c r="A10" s="2">
        <v>7</v>
      </c>
      <c r="B10" s="3">
        <f t="shared" si="0"/>
        <v>186.730150632005</v>
      </c>
      <c r="C10" s="3">
        <f t="shared" si="1"/>
        <v>111.928745016211</v>
      </c>
      <c r="D10" s="2">
        <v>216.816</v>
      </c>
      <c r="E10" s="2">
        <v>224.402</v>
      </c>
      <c r="G10" s="4">
        <v>0.234522686427391</v>
      </c>
      <c r="H10" s="4">
        <v>0.765507553303987</v>
      </c>
      <c r="I10" s="2">
        <v>34670.4</v>
      </c>
      <c r="J10" s="7">
        <v>0.06</v>
      </c>
      <c r="K10" s="2">
        <v>0.5</v>
      </c>
      <c r="L10" s="2">
        <f ca="1" t="shared" si="2"/>
        <v>0.806811795269107</v>
      </c>
    </row>
    <row r="11" spans="1:14">
      <c r="A11" s="2">
        <v>8</v>
      </c>
      <c r="B11" s="3">
        <f t="shared" si="0"/>
        <v>613.293472413229</v>
      </c>
      <c r="C11" s="3">
        <f t="shared" si="1"/>
        <v>219.821537263406</v>
      </c>
      <c r="D11" s="2">
        <v>97.238</v>
      </c>
      <c r="E11" s="2">
        <v>329.169</v>
      </c>
      <c r="F11" s="2" t="s">
        <v>13</v>
      </c>
      <c r="G11" s="4">
        <v>0.659927167339468</v>
      </c>
      <c r="H11" s="4">
        <v>0.893495208616585</v>
      </c>
      <c r="I11" s="2">
        <v>34670.4</v>
      </c>
      <c r="J11" s="7">
        <v>0.06</v>
      </c>
      <c r="K11" s="2">
        <v>0.5</v>
      </c>
      <c r="L11" s="2">
        <f ca="1" t="shared" si="2"/>
        <v>0.812302811334868</v>
      </c>
    </row>
    <row r="12" spans="1:14">
      <c r="A12" s="2">
        <v>9</v>
      </c>
      <c r="B12" s="3">
        <f t="shared" si="0"/>
        <v>304.124326687801</v>
      </c>
      <c r="C12" s="3">
        <f t="shared" si="1"/>
        <v>128.804749349534</v>
      </c>
      <c r="D12" s="2">
        <v>84.89</v>
      </c>
      <c r="E12" s="2">
        <v>326.908</v>
      </c>
      <c r="G12" s="4">
        <v>0.340072832660532</v>
      </c>
      <c r="H12" s="4">
        <v>0.859803313717732</v>
      </c>
      <c r="I12" s="2">
        <v>34670.4</v>
      </c>
      <c r="J12" s="7">
        <v>0.06</v>
      </c>
      <c r="K12" s="2">
        <v>0.5</v>
      </c>
      <c r="L12" s="2">
        <f ca="1" t="shared" si="2"/>
        <v>0.794543691856656</v>
      </c>
    </row>
    <row r="13" spans="1:14">
      <c r="A13" s="2">
        <v>10</v>
      </c>
      <c r="B13" s="3">
        <f t="shared" si="0"/>
        <v>334.751243688114</v>
      </c>
      <c r="C13" s="3">
        <f t="shared" si="1"/>
        <v>193.050141264136</v>
      </c>
      <c r="D13" s="2">
        <v>119.404</v>
      </c>
      <c r="E13" s="2">
        <v>405.872</v>
      </c>
      <c r="F13" s="2" t="s">
        <v>14</v>
      </c>
      <c r="G13" s="4">
        <v>0.410597536779152</v>
      </c>
      <c r="H13" s="4">
        <v>0.773444352513379</v>
      </c>
      <c r="I13" s="2">
        <v>14951.6</v>
      </c>
      <c r="J13" s="8">
        <v>0.141</v>
      </c>
      <c r="K13" s="2">
        <v>0.5</v>
      </c>
      <c r="L13" s="2">
        <f ca="1" t="shared" si="2"/>
        <v>0.806072210603505</v>
      </c>
    </row>
    <row r="14" spans="1:14">
      <c r="A14" s="2">
        <v>11</v>
      </c>
      <c r="B14" s="3">
        <f t="shared" si="0"/>
        <v>266.607059387155</v>
      </c>
      <c r="C14" s="3">
        <f t="shared" si="1"/>
        <v>143.5604149767</v>
      </c>
      <c r="D14" s="2">
        <v>74.934</v>
      </c>
      <c r="E14" s="2">
        <v>347.643</v>
      </c>
      <c r="G14" s="4">
        <v>0.318482034928335</v>
      </c>
      <c r="H14" s="4">
        <v>0.794163491838653</v>
      </c>
      <c r="I14" s="2">
        <v>14951.6</v>
      </c>
      <c r="J14" s="8">
        <v>0.141</v>
      </c>
      <c r="K14" s="2">
        <v>0.5</v>
      </c>
      <c r="L14" s="2">
        <f ca="1" t="shared" si="2"/>
        <v>0.826070658923093</v>
      </c>
    </row>
    <row r="15" spans="1:14">
      <c r="A15" s="2">
        <v>12</v>
      </c>
      <c r="B15" s="3">
        <f t="shared" si="0"/>
        <v>125.279108750163</v>
      </c>
      <c r="C15" s="3">
        <f t="shared" si="1"/>
        <v>53.8996771407295</v>
      </c>
      <c r="D15" s="2">
        <v>142.734</v>
      </c>
      <c r="E15" s="2">
        <v>427.643</v>
      </c>
      <c r="G15" s="4">
        <v>0.139304630924966</v>
      </c>
      <c r="H15" s="4">
        <v>0.85317145043601</v>
      </c>
      <c r="I15" s="2">
        <v>14951.6</v>
      </c>
      <c r="J15" s="8">
        <v>0.141</v>
      </c>
      <c r="K15" s="2">
        <v>0.5</v>
      </c>
      <c r="L15" s="2">
        <f ca="1" t="shared" ref="L15:L24" si="3">0.7+(0.9-0.7)*RAND()</f>
        <v>0.880770219777069</v>
      </c>
    </row>
    <row r="16" spans="1:14">
      <c r="A16" s="2">
        <v>13</v>
      </c>
      <c r="B16" s="3">
        <f t="shared" si="0"/>
        <v>114.666049880485</v>
      </c>
      <c r="C16" s="3">
        <f t="shared" si="1"/>
        <v>54.9553093809812</v>
      </c>
      <c r="D16" s="2">
        <v>179.816</v>
      </c>
      <c r="E16" s="2">
        <v>493.166</v>
      </c>
      <c r="G16" s="4">
        <v>0.131615797367548</v>
      </c>
      <c r="H16" s="4">
        <v>0.826513679209993</v>
      </c>
      <c r="I16" s="2">
        <v>14951.6</v>
      </c>
      <c r="J16" s="8">
        <v>0.141</v>
      </c>
      <c r="K16" s="2">
        <v>0.5</v>
      </c>
      <c r="L16" s="2">
        <f ca="1" t="shared" si="3"/>
        <v>0.760105731668671</v>
      </c>
    </row>
    <row r="17" spans="1:12">
      <c r="A17" s="2">
        <v>14</v>
      </c>
      <c r="B17" s="3">
        <f t="shared" si="0"/>
        <v>1600.1051213788</v>
      </c>
      <c r="C17" s="3">
        <f t="shared" si="1"/>
        <v>156.781955941728</v>
      </c>
      <c r="D17" s="2">
        <v>133.581</v>
      </c>
      <c r="E17" s="2">
        <v>327.643</v>
      </c>
      <c r="F17" s="2" t="s">
        <v>15</v>
      </c>
      <c r="G17" s="6">
        <v>0.347460449301335</v>
      </c>
      <c r="H17" s="4">
        <v>0.793690737190838</v>
      </c>
      <c r="I17" s="2">
        <v>18961.4</v>
      </c>
      <c r="J17" s="8">
        <v>0.612</v>
      </c>
      <c r="K17" s="2">
        <v>0.5</v>
      </c>
      <c r="L17" s="2">
        <f ca="1" t="shared" si="3"/>
        <v>0.898631019147458</v>
      </c>
    </row>
    <row r="18" spans="1:12">
      <c r="A18" s="2">
        <v>15</v>
      </c>
      <c r="B18" s="3">
        <f t="shared" si="0"/>
        <v>1170.01098843224</v>
      </c>
      <c r="C18" s="3">
        <f t="shared" si="1"/>
        <v>90.943999138012</v>
      </c>
      <c r="D18" s="2">
        <v>172.228</v>
      </c>
      <c r="E18" s="2">
        <v>317.225</v>
      </c>
      <c r="G18" s="4">
        <v>0.235998438240832</v>
      </c>
      <c r="H18" s="4">
        <v>0.854454586140815</v>
      </c>
      <c r="I18" s="2">
        <v>18961.4</v>
      </c>
      <c r="J18" s="8">
        <v>0.612</v>
      </c>
      <c r="K18" s="2">
        <v>0.5</v>
      </c>
      <c r="L18" s="2">
        <f ca="1" t="shared" si="3"/>
        <v>0.802896088878631</v>
      </c>
    </row>
    <row r="19" spans="1:12">
      <c r="A19" s="2">
        <v>16</v>
      </c>
      <c r="B19" s="3">
        <f t="shared" si="0"/>
        <v>1121.35278696599</v>
      </c>
      <c r="C19" s="3">
        <f t="shared" si="1"/>
        <v>97.4658459485213</v>
      </c>
      <c r="D19" s="2">
        <v>205.466</v>
      </c>
      <c r="E19" s="2">
        <v>323.813</v>
      </c>
      <c r="G19" s="4">
        <v>0.233702389302686</v>
      </c>
      <c r="H19" s="4">
        <v>0.826965302177778</v>
      </c>
      <c r="I19" s="2">
        <v>18961.4</v>
      </c>
      <c r="J19" s="8">
        <v>0.612</v>
      </c>
      <c r="K19" s="2">
        <v>0.5</v>
      </c>
      <c r="L19" s="2">
        <f ca="1" t="shared" si="3"/>
        <v>0.843220887470772</v>
      </c>
    </row>
    <row r="20" spans="1:12">
      <c r="A20" s="2">
        <v>17</v>
      </c>
      <c r="B20" s="3">
        <f t="shared" si="0"/>
        <v>828.389489208999</v>
      </c>
      <c r="C20" s="3">
        <f t="shared" si="1"/>
        <v>84.7225990110917</v>
      </c>
      <c r="D20" s="2">
        <v>195.11</v>
      </c>
      <c r="E20" s="2">
        <v>346.843</v>
      </c>
      <c r="G20" s="4">
        <v>0.182838723155147</v>
      </c>
      <c r="H20" s="4">
        <v>0.780862512170437</v>
      </c>
      <c r="I20" s="2">
        <v>18961.4</v>
      </c>
      <c r="J20" s="8">
        <v>0.612</v>
      </c>
      <c r="K20" s="2">
        <v>0.5</v>
      </c>
      <c r="L20" s="2">
        <f ca="1" t="shared" si="3"/>
        <v>0.800889265487262</v>
      </c>
    </row>
    <row r="21" spans="1:12">
      <c r="A21" s="2">
        <v>18</v>
      </c>
      <c r="B21" s="3">
        <f t="shared" si="0"/>
        <v>0</v>
      </c>
      <c r="C21" s="3">
        <f t="shared" si="1"/>
        <v>0</v>
      </c>
      <c r="D21" s="2">
        <v>346.6</v>
      </c>
      <c r="E21" s="2">
        <v>344.366</v>
      </c>
      <c r="F21" s="2" t="s">
        <v>38</v>
      </c>
      <c r="G21" s="4">
        <v>0</v>
      </c>
      <c r="H21" s="4">
        <v>0.751614924590238</v>
      </c>
      <c r="I21" s="2">
        <v>0</v>
      </c>
      <c r="J21" s="2">
        <v>0</v>
      </c>
      <c r="K21" s="2">
        <v>0.5</v>
      </c>
      <c r="L21" s="2">
        <f ca="1" t="shared" si="3"/>
        <v>0.889377805488755</v>
      </c>
    </row>
    <row r="22" spans="1:12">
      <c r="A22" s="2">
        <v>19</v>
      </c>
      <c r="B22" s="3">
        <f t="shared" si="0"/>
        <v>1656.73283172093</v>
      </c>
      <c r="C22" s="3">
        <f t="shared" si="1"/>
        <v>57.6117852321712</v>
      </c>
      <c r="D22" s="2">
        <v>337.108</v>
      </c>
      <c r="E22" s="2">
        <v>359.299</v>
      </c>
      <c r="F22" s="2" t="s">
        <v>16</v>
      </c>
      <c r="G22" s="4">
        <v>0.130712111025857</v>
      </c>
      <c r="H22" s="4">
        <v>0.804311966309383</v>
      </c>
      <c r="I22" s="2">
        <v>33600</v>
      </c>
      <c r="J22" s="8">
        <v>0.938</v>
      </c>
      <c r="K22" s="2">
        <v>0.5</v>
      </c>
      <c r="L22" s="2">
        <f ca="1" t="shared" si="3"/>
        <v>0.797482890486569</v>
      </c>
    </row>
    <row r="23" spans="1:12">
      <c r="A23" s="2">
        <v>20</v>
      </c>
      <c r="B23" s="3">
        <f t="shared" si="0"/>
        <v>1538.48557388822</v>
      </c>
      <c r="C23" s="3">
        <f t="shared" si="1"/>
        <v>63.8965170170157</v>
      </c>
      <c r="D23" s="2">
        <v>311.282</v>
      </c>
      <c r="E23" s="2">
        <v>355.375</v>
      </c>
      <c r="G23" s="4">
        <v>0.130200361076359</v>
      </c>
      <c r="H23" s="4">
        <v>0.74984089011756</v>
      </c>
      <c r="I23" s="2">
        <v>33600</v>
      </c>
      <c r="J23" s="8">
        <v>0.938</v>
      </c>
      <c r="K23" s="2">
        <v>0.5</v>
      </c>
      <c r="L23" s="2">
        <f ca="1" t="shared" si="3"/>
        <v>0.87055065489185</v>
      </c>
    </row>
    <row r="24" spans="1:12">
      <c r="A24" s="2">
        <v>21</v>
      </c>
      <c r="B24" s="3">
        <f t="shared" si="0"/>
        <v>1651.27290193257</v>
      </c>
      <c r="C24" s="3">
        <f t="shared" si="1"/>
        <v>46.7794197267612</v>
      </c>
      <c r="D24" s="2">
        <v>300.89</v>
      </c>
      <c r="E24" s="2">
        <v>369.691</v>
      </c>
      <c r="G24" s="4">
        <v>0.122301423224556</v>
      </c>
      <c r="H24" s="4">
        <v>0.85679164523239</v>
      </c>
      <c r="I24" s="2">
        <v>33600</v>
      </c>
      <c r="J24" s="8">
        <v>0.938</v>
      </c>
      <c r="K24" s="2">
        <v>0.5</v>
      </c>
      <c r="L24" s="2">
        <f ca="1" t="shared" si="3"/>
        <v>0.885651305286554</v>
      </c>
    </row>
    <row r="25" spans="1:12">
      <c r="A25" s="2">
        <v>22</v>
      </c>
      <c r="B25" s="3">
        <f t="shared" si="0"/>
        <v>1590.34594951163</v>
      </c>
      <c r="C25" s="3">
        <f t="shared" si="1"/>
        <v>48.7178008467671</v>
      </c>
      <c r="D25" s="2">
        <v>280.64</v>
      </c>
      <c r="E25" s="2">
        <v>354.96</v>
      </c>
      <c r="G25" s="4">
        <v>0.120410772120708</v>
      </c>
      <c r="H25" s="4">
        <v>0.838135325810526</v>
      </c>
      <c r="I25" s="2">
        <v>33600</v>
      </c>
      <c r="J25" s="8">
        <v>0.938</v>
      </c>
      <c r="K25" s="2">
        <v>0.5</v>
      </c>
      <c r="L25" s="2">
        <f ca="1" t="shared" ref="L25:L34" si="4">0.7+(0.9-0.7)*RAND()</f>
        <v>0.723236380621916</v>
      </c>
    </row>
    <row r="26" spans="1:12">
      <c r="A26" s="2">
        <v>23</v>
      </c>
      <c r="B26" s="3">
        <f t="shared" si="0"/>
        <v>1284.65100389338</v>
      </c>
      <c r="C26" s="3">
        <f t="shared" si="1"/>
        <v>55.1464031224523</v>
      </c>
      <c r="D26" s="2">
        <v>244.463</v>
      </c>
      <c r="E26" s="2">
        <v>362.049</v>
      </c>
      <c r="G26" s="4">
        <v>0.110332049762076</v>
      </c>
      <c r="H26" s="4">
        <v>0.738875649087159</v>
      </c>
      <c r="I26" s="2">
        <v>33600</v>
      </c>
      <c r="J26" s="8">
        <v>0.938</v>
      </c>
      <c r="K26" s="2">
        <v>0.5</v>
      </c>
      <c r="L26" s="2">
        <f ca="1" t="shared" si="4"/>
        <v>0.836719010804751</v>
      </c>
    </row>
    <row r="27" spans="1:12">
      <c r="A27" s="2">
        <v>24</v>
      </c>
      <c r="B27" s="3">
        <f t="shared" si="0"/>
        <v>1049.98504843635</v>
      </c>
      <c r="C27" s="3">
        <f t="shared" si="1"/>
        <v>38.7700890534521</v>
      </c>
      <c r="D27" s="2">
        <v>274.4</v>
      </c>
      <c r="E27" s="2">
        <v>372.143</v>
      </c>
      <c r="G27" s="4">
        <v>0.0846851059306944</v>
      </c>
      <c r="H27" s="4">
        <v>0.786799290525697</v>
      </c>
      <c r="I27" s="2">
        <v>33600</v>
      </c>
      <c r="J27" s="8">
        <v>0.938</v>
      </c>
      <c r="K27" s="2">
        <v>0.5</v>
      </c>
      <c r="L27" s="2">
        <f ca="1" t="shared" si="4"/>
        <v>0.886516433897284</v>
      </c>
    </row>
    <row r="28" spans="1:12">
      <c r="A28" s="2">
        <v>25</v>
      </c>
      <c r="B28" s="3">
        <f t="shared" si="0"/>
        <v>1004.87855468226</v>
      </c>
      <c r="C28" s="3">
        <f t="shared" si="1"/>
        <v>39.7387630568652</v>
      </c>
      <c r="D28" s="2">
        <v>262.178</v>
      </c>
      <c r="E28" s="2">
        <v>390.876</v>
      </c>
      <c r="G28" s="4">
        <v>0.0832859060356016</v>
      </c>
      <c r="H28" s="4">
        <v>0.765649394187297</v>
      </c>
      <c r="I28" s="2">
        <v>33600</v>
      </c>
      <c r="J28" s="8">
        <v>0.938</v>
      </c>
      <c r="K28" s="2">
        <v>0.5</v>
      </c>
      <c r="L28" s="2">
        <f ca="1" t="shared" si="4"/>
        <v>0.833605609362232</v>
      </c>
    </row>
    <row r="29" spans="1:12">
      <c r="A29" s="2">
        <v>26</v>
      </c>
      <c r="B29" s="3">
        <f t="shared" si="0"/>
        <v>1078.56138243189</v>
      </c>
      <c r="C29" s="3">
        <f t="shared" si="1"/>
        <v>26.6176638327482</v>
      </c>
      <c r="D29" s="2">
        <v>261.6</v>
      </c>
      <c r="E29" s="2">
        <v>413.832</v>
      </c>
      <c r="G29" s="4">
        <v>0.077280360439006</v>
      </c>
      <c r="H29" s="4">
        <v>0.885653018950279</v>
      </c>
      <c r="I29" s="2">
        <v>33600</v>
      </c>
      <c r="J29" s="8">
        <v>0.938</v>
      </c>
      <c r="K29" s="2">
        <v>0.5</v>
      </c>
      <c r="L29" s="2">
        <f ca="1" t="shared" si="4"/>
        <v>0.774359984585151</v>
      </c>
    </row>
    <row r="30" spans="1:12">
      <c r="A30" s="2">
        <v>27</v>
      </c>
      <c r="B30" s="3">
        <f t="shared" si="0"/>
        <v>884.949292899404</v>
      </c>
      <c r="C30" s="3">
        <f t="shared" si="1"/>
        <v>26.9860324857363</v>
      </c>
      <c r="D30" s="2">
        <v>313.345</v>
      </c>
      <c r="E30" s="2">
        <v>413.49</v>
      </c>
      <c r="G30" s="4">
        <v>0.0669123453148579</v>
      </c>
      <c r="H30" s="4">
        <v>0.83926674314743</v>
      </c>
      <c r="I30" s="2">
        <v>33600</v>
      </c>
      <c r="J30" s="8">
        <v>0.938</v>
      </c>
      <c r="K30" s="2">
        <v>0.5</v>
      </c>
      <c r="L30" s="2">
        <f ca="1" t="shared" si="4"/>
        <v>0.818001744565012</v>
      </c>
    </row>
    <row r="31" spans="1:12">
      <c r="A31" s="2">
        <v>28</v>
      </c>
      <c r="B31" s="3">
        <f t="shared" si="0"/>
        <v>886.505458113532</v>
      </c>
      <c r="C31" s="3">
        <f t="shared" si="1"/>
        <v>24.7560209164328</v>
      </c>
      <c r="D31" s="2">
        <v>249.463</v>
      </c>
      <c r="E31" s="2">
        <v>459.049</v>
      </c>
      <c r="G31" s="4">
        <v>0.0654113519257166</v>
      </c>
      <c r="H31" s="4">
        <v>0.86003508482397</v>
      </c>
      <c r="I31" s="2">
        <v>33600</v>
      </c>
      <c r="J31" s="8">
        <v>0.938</v>
      </c>
      <c r="K31" s="2">
        <v>0.5</v>
      </c>
      <c r="L31" s="2">
        <f ca="1" t="shared" si="4"/>
        <v>0.700323739680992</v>
      </c>
    </row>
    <row r="32" spans="1:12">
      <c r="A32" s="2">
        <v>29</v>
      </c>
      <c r="B32" s="3">
        <f t="shared" si="0"/>
        <v>94.0936143426923</v>
      </c>
      <c r="C32" s="3">
        <f t="shared" si="1"/>
        <v>4.45406115591459</v>
      </c>
      <c r="D32" s="2">
        <v>231.655</v>
      </c>
      <c r="E32" s="2">
        <v>571.72</v>
      </c>
      <c r="G32" s="4">
        <v>0.00846821314456827</v>
      </c>
      <c r="H32" s="4">
        <v>0.705108987425865</v>
      </c>
      <c r="I32" s="2">
        <v>33600</v>
      </c>
      <c r="J32" s="8">
        <v>0.938</v>
      </c>
      <c r="K32" s="2">
        <v>0.5</v>
      </c>
      <c r="L32" s="2">
        <f ca="1" t="shared" si="4"/>
        <v>0.804133912899195</v>
      </c>
    </row>
    <row r="33" spans="1:12">
      <c r="A33" s="2">
        <v>30</v>
      </c>
      <c r="B33" s="3">
        <f t="shared" si="0"/>
        <v>555.288223660756</v>
      </c>
      <c r="C33" s="3">
        <f t="shared" si="1"/>
        <v>151.769809968639</v>
      </c>
      <c r="D33" s="2">
        <v>350.021</v>
      </c>
      <c r="E33" s="2">
        <v>359.299</v>
      </c>
      <c r="F33" s="2" t="s">
        <v>18</v>
      </c>
      <c r="G33" s="4">
        <v>0.339063429508567</v>
      </c>
      <c r="H33" s="4">
        <v>0.797394957053898</v>
      </c>
      <c r="I33" s="2">
        <v>12717.2</v>
      </c>
      <c r="J33" s="8">
        <v>0.323</v>
      </c>
      <c r="K33" s="2">
        <v>0.5</v>
      </c>
      <c r="L33" s="2">
        <f ca="1" t="shared" si="4"/>
        <v>0.732506284756567</v>
      </c>
    </row>
    <row r="34" spans="1:12">
      <c r="A34" s="2">
        <v>31</v>
      </c>
      <c r="B34" s="3">
        <f t="shared" si="0"/>
        <v>441.81262608577</v>
      </c>
      <c r="C34" s="3">
        <f t="shared" si="1"/>
        <v>133.569490742683</v>
      </c>
      <c r="D34" s="2">
        <v>368.238</v>
      </c>
      <c r="E34" s="2">
        <v>366.038</v>
      </c>
      <c r="G34" s="4">
        <v>0.280538125128057</v>
      </c>
      <c r="H34" s="4">
        <v>0.766800177409049</v>
      </c>
      <c r="I34" s="2">
        <v>12717.2</v>
      </c>
      <c r="J34" s="8">
        <v>0.323</v>
      </c>
      <c r="K34" s="2">
        <v>0.5</v>
      </c>
      <c r="L34" s="2">
        <f ca="1" t="shared" si="4"/>
        <v>0.816296872831852</v>
      </c>
    </row>
    <row r="35" spans="1:12">
      <c r="A35" s="2">
        <v>32</v>
      </c>
      <c r="B35" s="3">
        <f t="shared" si="0"/>
        <v>341.554015190408</v>
      </c>
      <c r="C35" s="3">
        <f t="shared" si="1"/>
        <v>98.5931055447804</v>
      </c>
      <c r="D35" s="2">
        <v>338.021</v>
      </c>
      <c r="E35" s="2">
        <v>401.952</v>
      </c>
      <c r="G35" s="4">
        <v>0.212893645689419</v>
      </c>
      <c r="H35" s="4">
        <v>0.781146817953879</v>
      </c>
      <c r="I35" s="2">
        <v>12717.2</v>
      </c>
      <c r="J35" s="8">
        <v>0.323</v>
      </c>
      <c r="K35" s="2">
        <v>0.5</v>
      </c>
      <c r="L35" s="2">
        <f ca="1" t="shared" ref="L35:L49" si="5">0.7+(0.9-0.7)*RAND()</f>
        <v>0.746286039646451</v>
      </c>
    </row>
    <row r="36" spans="1:12">
      <c r="A36" s="2">
        <v>33</v>
      </c>
      <c r="B36" s="3">
        <f t="shared" si="0"/>
        <v>261.717951024823</v>
      </c>
      <c r="C36" s="3">
        <f t="shared" si="1"/>
        <v>57.3942814497014</v>
      </c>
      <c r="D36" s="2">
        <v>330.803</v>
      </c>
      <c r="E36" s="2">
        <v>431.256</v>
      </c>
      <c r="G36" s="4">
        <v>0.149081916908487</v>
      </c>
      <c r="H36" s="4">
        <v>0.854760639304874</v>
      </c>
      <c r="I36" s="2">
        <v>12717.2</v>
      </c>
      <c r="J36" s="8">
        <v>0.323</v>
      </c>
      <c r="K36" s="2">
        <v>0.5</v>
      </c>
      <c r="L36" s="2">
        <f ca="1" t="shared" si="5"/>
        <v>0.709529390966459</v>
      </c>
    </row>
    <row r="37" spans="1:12">
      <c r="A37" s="2">
        <v>34</v>
      </c>
      <c r="B37" s="3">
        <f t="shared" si="0"/>
        <v>32.5387223322915</v>
      </c>
      <c r="C37" s="3">
        <f t="shared" si="1"/>
        <v>6.97414885517783</v>
      </c>
      <c r="D37" s="2">
        <v>315.466</v>
      </c>
      <c r="E37" s="2">
        <v>444.96</v>
      </c>
      <c r="G37" s="4">
        <v>0.0184228827654698</v>
      </c>
      <c r="H37" s="4">
        <v>0.859961244237841</v>
      </c>
      <c r="I37" s="2">
        <v>12717.2</v>
      </c>
      <c r="J37" s="8">
        <v>0.323</v>
      </c>
      <c r="K37" s="2">
        <v>0.5</v>
      </c>
      <c r="L37" s="2">
        <f ca="1" t="shared" si="5"/>
        <v>0.889310537562768</v>
      </c>
    </row>
    <row r="38" spans="1:12">
      <c r="A38" s="2">
        <v>35</v>
      </c>
      <c r="B38" s="3">
        <f t="shared" si="0"/>
        <v>2043.92619622834</v>
      </c>
      <c r="C38" s="3">
        <f t="shared" si="1"/>
        <v>203.967985191513</v>
      </c>
      <c r="D38" s="2">
        <v>395.466</v>
      </c>
      <c r="E38" s="2">
        <v>362.643</v>
      </c>
      <c r="F38" s="2" t="s">
        <v>19</v>
      </c>
      <c r="G38" s="4">
        <v>0.387227141872723</v>
      </c>
      <c r="H38" s="4">
        <v>0.704069261469796</v>
      </c>
      <c r="I38" s="2">
        <v>24420</v>
      </c>
      <c r="J38" s="8">
        <v>0.614</v>
      </c>
      <c r="K38" s="2">
        <v>0.5</v>
      </c>
      <c r="L38" s="2">
        <f ca="1" t="shared" si="5"/>
        <v>0.765454120017797</v>
      </c>
    </row>
    <row r="39" spans="1:12">
      <c r="A39" s="2">
        <v>36</v>
      </c>
      <c r="B39" s="3">
        <f t="shared" si="0"/>
        <v>2461.61533199847</v>
      </c>
      <c r="C39" s="3">
        <f t="shared" si="1"/>
        <v>129.593009593419</v>
      </c>
      <c r="D39" s="2">
        <v>396.6</v>
      </c>
      <c r="E39" s="2">
        <v>380.375</v>
      </c>
      <c r="G39" s="4">
        <v>0.371937838139271</v>
      </c>
      <c r="H39" s="4">
        <v>0.882807045862466</v>
      </c>
      <c r="I39" s="2">
        <v>24420</v>
      </c>
      <c r="J39" s="8">
        <v>0.614</v>
      </c>
      <c r="K39" s="2">
        <v>0.5</v>
      </c>
      <c r="L39" s="2">
        <f ca="1" t="shared" si="5"/>
        <v>0.806744041447732</v>
      </c>
    </row>
    <row r="40" spans="1:12">
      <c r="A40" s="2">
        <v>37</v>
      </c>
      <c r="B40" s="3">
        <f t="shared" si="0"/>
        <v>1322.36327222329</v>
      </c>
      <c r="C40" s="3">
        <f t="shared" si="1"/>
        <v>121.63141497436</v>
      </c>
      <c r="D40" s="2">
        <v>399.803</v>
      </c>
      <c r="E40" s="2">
        <v>415.375</v>
      </c>
      <c r="G40" s="4">
        <v>0.240835019988006</v>
      </c>
      <c r="H40" s="4">
        <v>0.732397924919707</v>
      </c>
      <c r="I40" s="2">
        <v>24420</v>
      </c>
      <c r="J40" s="8">
        <v>0.614</v>
      </c>
      <c r="K40" s="2">
        <v>0.5</v>
      </c>
      <c r="L40" s="2">
        <f ca="1" t="shared" si="5"/>
        <v>0.836191247119652</v>
      </c>
    </row>
    <row r="41" spans="1:12">
      <c r="A41" s="2">
        <v>38</v>
      </c>
      <c r="B41" s="3">
        <f t="shared" si="0"/>
        <v>2329.52938858501</v>
      </c>
      <c r="C41" s="3">
        <f t="shared" si="1"/>
        <v>109.414976155535</v>
      </c>
      <c r="D41" s="2">
        <v>307.298</v>
      </c>
      <c r="E41" s="2">
        <v>313.402</v>
      </c>
      <c r="F41" s="2" t="s">
        <v>20</v>
      </c>
      <c r="G41" s="4">
        <v>0.332211819594875</v>
      </c>
      <c r="H41" s="4">
        <v>0.89601606264501</v>
      </c>
      <c r="I41" s="2">
        <v>23751</v>
      </c>
      <c r="J41" s="8">
        <v>0.659</v>
      </c>
      <c r="K41" s="2">
        <v>0.5</v>
      </c>
      <c r="L41" s="2">
        <f ca="1" t="shared" si="5"/>
        <v>0.762572384236887</v>
      </c>
    </row>
    <row r="42" spans="1:12">
      <c r="A42" s="2">
        <v>39</v>
      </c>
      <c r="B42" s="3">
        <f t="shared" si="0"/>
        <v>1528.77424589282</v>
      </c>
      <c r="C42" s="3">
        <f t="shared" si="1"/>
        <v>110.514125552864</v>
      </c>
      <c r="D42" s="2">
        <v>262.906</v>
      </c>
      <c r="E42" s="2">
        <v>316.509</v>
      </c>
      <c r="G42" s="4">
        <v>0.245680005089764</v>
      </c>
      <c r="H42" s="4">
        <v>0.795126498126305</v>
      </c>
      <c r="I42" s="2">
        <v>23751</v>
      </c>
      <c r="J42" s="8">
        <v>0.659</v>
      </c>
      <c r="K42" s="2">
        <v>0.5</v>
      </c>
      <c r="L42" s="2">
        <f ca="1" t="shared" si="5"/>
        <v>0.786821898756411</v>
      </c>
    </row>
    <row r="43" spans="1:12">
      <c r="A43" s="2">
        <v>40</v>
      </c>
      <c r="B43" s="3">
        <f t="shared" si="0"/>
        <v>1358.09168246261</v>
      </c>
      <c r="C43" s="3">
        <f t="shared" si="1"/>
        <v>76.1296079616946</v>
      </c>
      <c r="D43" s="2">
        <v>253.325</v>
      </c>
      <c r="E43" s="2">
        <v>315.038</v>
      </c>
      <c r="G43" s="4">
        <v>0.21179571246505</v>
      </c>
      <c r="H43" s="4">
        <v>0.874738672405057</v>
      </c>
      <c r="I43" s="2">
        <v>32580</v>
      </c>
      <c r="J43" s="7">
        <v>0.45</v>
      </c>
      <c r="K43" s="2">
        <v>0.5</v>
      </c>
      <c r="L43" s="2">
        <f ca="1" t="shared" si="5"/>
        <v>0.772087263710421</v>
      </c>
    </row>
    <row r="44" spans="1:12">
      <c r="A44" s="2">
        <v>41</v>
      </c>
      <c r="B44" s="3">
        <f t="shared" si="0"/>
        <v>1085.63282372107</v>
      </c>
      <c r="C44" s="3">
        <f t="shared" si="1"/>
        <v>110.762666266188</v>
      </c>
      <c r="D44" s="2">
        <v>224.581</v>
      </c>
      <c r="E44" s="2">
        <v>255.375</v>
      </c>
      <c r="G44" s="4">
        <v>0.210312462850311</v>
      </c>
      <c r="H44" s="4">
        <v>0.704181089869441</v>
      </c>
      <c r="I44" s="2">
        <v>32580</v>
      </c>
      <c r="J44" s="7">
        <v>0.45</v>
      </c>
      <c r="K44" s="2">
        <v>0.5</v>
      </c>
      <c r="L44" s="2">
        <f ca="1" t="shared" si="5"/>
        <v>0.882302154735459</v>
      </c>
    </row>
    <row r="45" spans="1:12">
      <c r="A45" s="2">
        <v>42</v>
      </c>
      <c r="B45" s="3">
        <f t="shared" si="0"/>
        <v>3700.74406443879</v>
      </c>
      <c r="C45" s="3">
        <f t="shared" si="1"/>
        <v>269.116447585927</v>
      </c>
      <c r="D45" s="2">
        <v>338.847</v>
      </c>
      <c r="E45" s="2">
        <v>332.643</v>
      </c>
      <c r="F45" s="2" t="s">
        <v>22</v>
      </c>
      <c r="G45" s="4">
        <v>0.672476103574746</v>
      </c>
      <c r="H45" s="4">
        <v>0.841974152384169</v>
      </c>
      <c r="I45" s="2">
        <v>26091.9</v>
      </c>
      <c r="J45" s="8">
        <v>0.501</v>
      </c>
      <c r="K45" s="2">
        <v>0.5</v>
      </c>
      <c r="L45" s="2">
        <f ca="1" t="shared" si="5"/>
        <v>0.759917181439955</v>
      </c>
    </row>
    <row r="46" spans="1:12">
      <c r="A46" s="2">
        <v>43</v>
      </c>
      <c r="B46" s="3">
        <f t="shared" si="0"/>
        <v>1780.19948935682</v>
      </c>
      <c r="C46" s="3">
        <f t="shared" si="1"/>
        <v>134.92484302213</v>
      </c>
      <c r="D46" s="2">
        <v>255.466</v>
      </c>
      <c r="E46" s="2">
        <v>267.049</v>
      </c>
      <c r="G46" s="4">
        <v>0.327523896425254</v>
      </c>
      <c r="H46" s="4">
        <v>0.831595718271273</v>
      </c>
      <c r="I46" s="2">
        <v>26091.9</v>
      </c>
      <c r="J46" s="8">
        <v>0.501</v>
      </c>
      <c r="K46" s="2">
        <v>0.5</v>
      </c>
      <c r="L46" s="2">
        <f ca="1" t="shared" si="5"/>
        <v>0.811610450034708</v>
      </c>
    </row>
    <row r="47" spans="1:12">
      <c r="A47" s="2">
        <v>44</v>
      </c>
      <c r="B47" s="3">
        <f t="shared" si="0"/>
        <v>3221.87670070517</v>
      </c>
      <c r="C47" s="3">
        <f t="shared" si="1"/>
        <v>258.749835350636</v>
      </c>
      <c r="D47" s="2">
        <v>349.716</v>
      </c>
      <c r="E47" s="2">
        <v>328.212</v>
      </c>
      <c r="F47" s="2" t="s">
        <v>23</v>
      </c>
      <c r="G47" s="4">
        <v>0.712288494632353</v>
      </c>
      <c r="H47" s="4">
        <v>0.871867882679655</v>
      </c>
      <c r="I47" s="2">
        <v>18108.3</v>
      </c>
      <c r="J47" s="8">
        <v>0.573</v>
      </c>
      <c r="K47" s="2">
        <v>0.5</v>
      </c>
      <c r="L47" s="2">
        <f ca="1" t="shared" si="5"/>
        <v>0.71002923298172</v>
      </c>
    </row>
    <row r="48" spans="1:12">
      <c r="A48" s="2">
        <v>45</v>
      </c>
      <c r="B48" s="3">
        <f t="shared" si="0"/>
        <v>895.38524654169</v>
      </c>
      <c r="C48" s="3">
        <f t="shared" si="1"/>
        <v>104.257978878544</v>
      </c>
      <c r="D48" s="2">
        <v>331.845</v>
      </c>
      <c r="E48" s="2">
        <v>306.509</v>
      </c>
      <c r="G48" s="4">
        <v>0.22258125274217</v>
      </c>
      <c r="H48" s="4">
        <v>0.775387944786742</v>
      </c>
      <c r="I48" s="2">
        <v>18108.3</v>
      </c>
      <c r="J48" s="8">
        <v>0.573</v>
      </c>
      <c r="K48" s="2">
        <v>0.5</v>
      </c>
      <c r="L48" s="2">
        <f ca="1" t="shared" si="5"/>
        <v>0.716557140015634</v>
      </c>
    </row>
    <row r="49" spans="1:12">
      <c r="A49" s="2">
        <v>46</v>
      </c>
      <c r="B49" s="3">
        <f t="shared" si="0"/>
        <v>281.768357982799</v>
      </c>
      <c r="C49" s="3">
        <f t="shared" si="1"/>
        <v>26.6641984820337</v>
      </c>
      <c r="D49" s="2">
        <v>327.151</v>
      </c>
      <c r="E49" s="2">
        <v>238.647</v>
      </c>
      <c r="G49" s="4">
        <v>0.0651302526254763</v>
      </c>
      <c r="H49" s="4">
        <v>0.833886899924422</v>
      </c>
      <c r="I49" s="2">
        <v>18108.3</v>
      </c>
      <c r="J49" s="8">
        <v>0.573</v>
      </c>
      <c r="K49" s="2">
        <v>0.5</v>
      </c>
      <c r="L49" s="2">
        <f ca="1" t="shared" si="5"/>
        <v>0.756644642891796</v>
      </c>
    </row>
  </sheetData>
  <mergeCells count="11">
    <mergeCell ref="F5:F7"/>
    <mergeCell ref="F8:F10"/>
    <mergeCell ref="F11:F12"/>
    <mergeCell ref="F13:F16"/>
    <mergeCell ref="F17:F20"/>
    <mergeCell ref="F22:F32"/>
    <mergeCell ref="F33:F37"/>
    <mergeCell ref="F38:F40"/>
    <mergeCell ref="F41:F44"/>
    <mergeCell ref="F45:F46"/>
    <mergeCell ref="F47:F4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" sqref="F1"/>
    </sheetView>
  </sheetViews>
  <sheetFormatPr defaultColWidth="8.72727272727273" defaultRowHeight="14" outlineLevelRow="1" outlineLevelCol="5"/>
  <cols>
    <col min="1" max="1" width="5.54545454545455" customWidth="1"/>
    <col min="5" max="5" width="12.8181818181818" customWidth="1"/>
    <col min="6" max="6" width="12.8181818181818"/>
  </cols>
  <sheetData>
    <row r="1" spans="1:6">
      <c r="A1" t="s">
        <v>39</v>
      </c>
      <c r="B1">
        <v>231.181</v>
      </c>
      <c r="C1">
        <v>559.093</v>
      </c>
      <c r="E1">
        <f>SQRT((B1-B2)^2+(C1-C2)^2)</f>
        <v>186.363102142028</v>
      </c>
      <c r="F1">
        <f>E1/8.8</f>
        <v>21.1776252434123</v>
      </c>
    </row>
    <row r="2" spans="1:6">
      <c r="A2" t="s">
        <v>40</v>
      </c>
      <c r="B2">
        <v>235.545</v>
      </c>
      <c r="C2">
        <v>372.781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"/>
  <sheetViews>
    <sheetView topLeftCell="K1" workbookViewId="0">
      <selection activeCell="Q35" sqref="Q35"/>
    </sheetView>
  </sheetViews>
  <sheetFormatPr defaultColWidth="8.72727272727273" defaultRowHeight="14" outlineLevelRow="5"/>
  <cols>
    <col min="1" max="24" width="12.8181818181818"/>
  </cols>
  <sheetData>
    <row r="1" spans="1:24">
      <c r="A1" s="1">
        <v>0.605009365901198</v>
      </c>
      <c r="B1" s="1">
        <v>0.609690519143062</v>
      </c>
      <c r="C1" s="1">
        <v>0.589095663803598</v>
      </c>
      <c r="D1" s="1">
        <v>0.604172846342117</v>
      </c>
      <c r="E1" s="1">
        <v>0.593129751295283</v>
      </c>
      <c r="F1" s="1">
        <v>0.64378855182285</v>
      </c>
      <c r="G1" s="1">
        <v>0.72453661655415</v>
      </c>
      <c r="H1" s="1">
        <v>0.815335458455889</v>
      </c>
      <c r="I1" s="1">
        <v>0.762440362110214</v>
      </c>
      <c r="J1" s="1">
        <v>0.69408150526862</v>
      </c>
      <c r="K1" s="1">
        <v>0.627946275510179</v>
      </c>
      <c r="L1" s="1">
        <v>0.657661327664167</v>
      </c>
      <c r="M1" s="1">
        <v>0.630729553793467</v>
      </c>
      <c r="N1" s="1">
        <v>0.625869194475046</v>
      </c>
      <c r="O1" s="1">
        <v>0.600208571215597</v>
      </c>
      <c r="P1" s="1">
        <v>0.612255211587401</v>
      </c>
      <c r="Q1" s="1">
        <v>0.661962740462547</v>
      </c>
      <c r="R1" s="1">
        <v>0.817268714349233</v>
      </c>
      <c r="S1" s="1">
        <v>0.785189407270016</v>
      </c>
      <c r="T1" s="1">
        <v>0.807988129537615</v>
      </c>
      <c r="U1" s="1">
        <v>0.808475198050789</v>
      </c>
      <c r="V1" s="1">
        <v>0.732669563237252</v>
      </c>
      <c r="W1" s="1">
        <v>0.702201564849287</v>
      </c>
      <c r="X1" s="1">
        <v>0.637961669585504</v>
      </c>
    </row>
    <row r="2" spans="1:24">
      <c r="A2" s="1">
        <v>0.812507576339805</v>
      </c>
      <c r="B2" s="1">
        <v>0.818795426829457</v>
      </c>
      <c r="C2" s="1">
        <v>0.791139760142785</v>
      </c>
      <c r="D2" s="1">
        <v>0.811392693258998</v>
      </c>
      <c r="E2" s="1">
        <v>0.796576320870721</v>
      </c>
      <c r="F2" s="1">
        <v>0.864630097115899</v>
      </c>
      <c r="G2" s="1">
        <v>0.973094883841363</v>
      </c>
      <c r="H2" s="1">
        <v>1.09504187804462</v>
      </c>
      <c r="I2" s="1">
        <v>1.02399955566207</v>
      </c>
      <c r="J2" s="1">
        <v>0.932173764032927</v>
      </c>
      <c r="K2" s="1">
        <v>0.84332430200875</v>
      </c>
      <c r="L2" s="1">
        <v>0.883208714619476</v>
      </c>
      <c r="M2" s="1">
        <v>0.8470366036707</v>
      </c>
      <c r="N2" s="1">
        <v>0.84050910533707</v>
      </c>
      <c r="O2" s="1">
        <v>0.806049410786087</v>
      </c>
      <c r="P2" s="1">
        <v>0.822231835911215</v>
      </c>
      <c r="Q2" s="1">
        <v>0.888996994464475</v>
      </c>
      <c r="R2" s="1">
        <v>1.09757622234837</v>
      </c>
      <c r="S2" s="1">
        <v>1.05451884990504</v>
      </c>
      <c r="T2" s="1">
        <v>1.08515558235722</v>
      </c>
      <c r="U2" s="1">
        <v>1.08580375427042</v>
      </c>
      <c r="V2" s="1">
        <v>0.983987899218725</v>
      </c>
      <c r="W2" s="1">
        <v>0.943054889634655</v>
      </c>
      <c r="X2" s="1">
        <v>0.856773556905709</v>
      </c>
    </row>
    <row r="3" spans="1:24">
      <c r="A3" s="1">
        <v>0.819106735049292</v>
      </c>
      <c r="B3" s="1">
        <v>0.825447420532262</v>
      </c>
      <c r="C3" s="1">
        <v>0.797570826021868</v>
      </c>
      <c r="D3" s="1">
        <v>0.81799518266716</v>
      </c>
      <c r="E3" s="1">
        <v>0.803078989757369</v>
      </c>
      <c r="F3" s="1">
        <v>0.871715507057071</v>
      </c>
      <c r="G3" s="1">
        <v>0.981094331757275</v>
      </c>
      <c r="H3" s="1">
        <v>1.10404215255298</v>
      </c>
      <c r="I3" s="1">
        <v>1.03241418337835</v>
      </c>
      <c r="J3" s="1">
        <v>0.939810508610639</v>
      </c>
      <c r="K3" s="1">
        <v>0.850192929231538</v>
      </c>
      <c r="L3" s="1">
        <v>0.890369471895194</v>
      </c>
      <c r="M3" s="1">
        <v>0.85389830575107</v>
      </c>
      <c r="N3" s="1">
        <v>0.847317506192783</v>
      </c>
      <c r="O3" s="1">
        <v>0.812580360720678</v>
      </c>
      <c r="P3" s="1">
        <v>0.828900292863006</v>
      </c>
      <c r="Q3" s="1">
        <v>0.896221633612232</v>
      </c>
      <c r="R3" s="1">
        <v>1.10650718189798</v>
      </c>
      <c r="S3" s="1">
        <v>1.06313503633219</v>
      </c>
      <c r="T3" s="1">
        <v>1.09404788202095</v>
      </c>
      <c r="U3" s="1">
        <v>1.09469269207644</v>
      </c>
      <c r="V3" s="1">
        <v>0.992033359151926</v>
      </c>
      <c r="W3" s="1">
        <v>0.950745408496431</v>
      </c>
      <c r="X3" s="1">
        <v>0.863749839357427</v>
      </c>
    </row>
    <row r="4" spans="1:24">
      <c r="A4" s="1">
        <v>0.851281199592998</v>
      </c>
      <c r="B4" s="1">
        <v>0.857876156097958</v>
      </c>
      <c r="C4" s="1">
        <v>0.828915461072095</v>
      </c>
      <c r="D4" s="1">
        <v>0.850162534247954</v>
      </c>
      <c r="E4" s="1">
        <v>0.834720974020373</v>
      </c>
      <c r="F4" s="1">
        <v>0.906142071704201</v>
      </c>
      <c r="G4" s="1">
        <v>1.01991491200993</v>
      </c>
      <c r="H4" s="1">
        <v>1.14772273408328</v>
      </c>
      <c r="I4" s="1">
        <v>1.07325572156628</v>
      </c>
      <c r="J4" s="1">
        <v>0.976919947792959</v>
      </c>
      <c r="K4" s="1">
        <v>0.883645043160263</v>
      </c>
      <c r="L4" s="1">
        <v>0.925305850145837</v>
      </c>
      <c r="M4" s="1">
        <v>0.887386556253423</v>
      </c>
      <c r="N4" s="1">
        <v>0.880546421850646</v>
      </c>
      <c r="O4" s="1">
        <v>0.844451973287179</v>
      </c>
      <c r="P4" s="1">
        <v>0.861430876369583</v>
      </c>
      <c r="Q4" s="1">
        <v>0.931437667011062</v>
      </c>
      <c r="R4" s="1">
        <v>1.15001935858964</v>
      </c>
      <c r="S4" s="1">
        <v>1.10504664376909</v>
      </c>
      <c r="T4" s="1">
        <v>1.13725423650259</v>
      </c>
      <c r="U4" s="1">
        <v>1.13789892549739</v>
      </c>
      <c r="V4" s="1">
        <v>1.03115836087334</v>
      </c>
      <c r="W4" s="1">
        <v>0.988182281518231</v>
      </c>
      <c r="X4" s="1">
        <v>0.897729808308051</v>
      </c>
    </row>
    <row r="5" spans="1:24">
      <c r="A5" s="1">
        <v>4.66459310108679</v>
      </c>
      <c r="B5" s="1">
        <v>4.70078322393959</v>
      </c>
      <c r="C5" s="1">
        <v>4.54220412885903</v>
      </c>
      <c r="D5" s="1">
        <v>4.65883574401515</v>
      </c>
      <c r="E5" s="1">
        <v>4.57484044512051</v>
      </c>
      <c r="F5" s="1">
        <v>4.96709391434959</v>
      </c>
      <c r="G5" s="1">
        <v>5.56084170395644</v>
      </c>
      <c r="H5" s="1">
        <v>5.54883615576151</v>
      </c>
      <c r="I5" s="1">
        <v>5.55567800065704</v>
      </c>
      <c r="J5" s="1">
        <v>5.35500369468185</v>
      </c>
      <c r="K5" s="1">
        <v>4.84250718530928</v>
      </c>
      <c r="L5" s="1">
        <v>5.06983109292018</v>
      </c>
      <c r="M5" s="1">
        <v>4.86189403757525</v>
      </c>
      <c r="N5" s="1">
        <v>4.82440496407536</v>
      </c>
      <c r="O5" s="1">
        <v>4.62669859166195</v>
      </c>
      <c r="P5" s="1">
        <v>4.7199171047823</v>
      </c>
      <c r="Q5" s="1">
        <v>5.10393761390808</v>
      </c>
      <c r="R5" s="1">
        <v>5.54355312832372</v>
      </c>
      <c r="S5" s="1">
        <v>5.54991445761907</v>
      </c>
      <c r="T5" s="1">
        <v>5.54828394257555</v>
      </c>
      <c r="U5" s="1">
        <v>5.54773178886702</v>
      </c>
      <c r="V5" s="1">
        <v>5.55731085967499</v>
      </c>
      <c r="W5" s="1">
        <v>5.41567589545913</v>
      </c>
      <c r="X5" s="1">
        <v>4.91963715194774</v>
      </c>
    </row>
    <row r="6" spans="1:24">
      <c r="A6">
        <f>SUM(A1:A5)</f>
        <v>7.75249797797008</v>
      </c>
      <c r="B6">
        <f t="shared" ref="B6:X6" si="0">SUM(B1:B5)</f>
        <v>7.81259274654233</v>
      </c>
      <c r="C6">
        <f t="shared" si="0"/>
        <v>7.54892583989938</v>
      </c>
      <c r="D6">
        <f t="shared" si="0"/>
        <v>7.74255900053138</v>
      </c>
      <c r="E6">
        <f t="shared" si="0"/>
        <v>7.60234648106426</v>
      </c>
      <c r="F6">
        <f t="shared" si="0"/>
        <v>8.25337014204961</v>
      </c>
      <c r="G6">
        <f t="shared" si="0"/>
        <v>9.25948244811916</v>
      </c>
      <c r="H6">
        <f t="shared" si="0"/>
        <v>9.71097837889828</v>
      </c>
      <c r="I6">
        <f t="shared" si="0"/>
        <v>9.44778782337395</v>
      </c>
      <c r="J6">
        <f t="shared" si="0"/>
        <v>8.897989420387</v>
      </c>
      <c r="K6">
        <f t="shared" si="0"/>
        <v>8.04761573522001</v>
      </c>
      <c r="L6">
        <f t="shared" si="0"/>
        <v>8.42637645724485</v>
      </c>
      <c r="M6">
        <f t="shared" si="0"/>
        <v>8.08094505704391</v>
      </c>
      <c r="N6">
        <f t="shared" si="0"/>
        <v>8.01864719193091</v>
      </c>
      <c r="O6">
        <f t="shared" si="0"/>
        <v>7.68998890767149</v>
      </c>
      <c r="P6">
        <f t="shared" si="0"/>
        <v>7.84473532151351</v>
      </c>
      <c r="Q6">
        <f t="shared" si="0"/>
        <v>8.4825566494584</v>
      </c>
      <c r="R6">
        <f t="shared" si="0"/>
        <v>9.71492460550894</v>
      </c>
      <c r="S6">
        <f t="shared" si="0"/>
        <v>9.55780439489541</v>
      </c>
      <c r="T6">
        <f t="shared" si="0"/>
        <v>9.67272977299393</v>
      </c>
      <c r="U6">
        <f t="shared" si="0"/>
        <v>9.67460235876206</v>
      </c>
      <c r="V6">
        <f t="shared" si="0"/>
        <v>9.29716004215623</v>
      </c>
      <c r="W6">
        <f t="shared" si="0"/>
        <v>8.99986003995773</v>
      </c>
      <c r="X6">
        <f t="shared" si="0"/>
        <v>8.17585202610443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线路</vt:lpstr>
      <vt:lpstr>节点</vt:lpstr>
      <vt:lpstr>基准点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12427</dc:creator>
  <cp:lastModifiedBy>周宇浩</cp:lastModifiedBy>
  <dcterms:created xsi:type="dcterms:W3CDTF">2026-01-06T10:41:00Z</dcterms:created>
  <dcterms:modified xsi:type="dcterms:W3CDTF">2026-01-31T09:27:33Z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4FE6EB2F36674EF49D2F683378187D2C_11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